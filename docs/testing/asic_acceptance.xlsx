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833bab51cd4b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Матрица" sheetId="1" r:id="Rf335e29be4f64b67"/>
    <x:sheet xmlns:r="http://schemas.openxmlformats.org/officeDocument/2006/relationships" name="Сценарии" sheetId="2" r:id="R193a2137fef14426"/>
    <x:sheet xmlns:r="http://schemas.openxmlformats.org/officeDocument/2006/relationships" name="Журнал" sheetId="3" r:id="R828e2be89cc74b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4">
    <x:font>
      <x:sz val="11"/>
      <x:name val="Carlito"/>
    </x:font>
    <x:font>
      <x:sz val="10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8E8"/>
      </x:patternFill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176A41"/>
      </x:font>
      <x:fill>
        <x:patternFill patternType="solid">
          <x:bgColor rgb="FFE3F3EA"/>
        </x:patternFill>
      </x:fill>
    </x:dxf>
    <x:dxf>
      <x:font>
        <x:color rgb="FFA62927"/>
      </x:font>
      <x:fill>
        <x:patternFill patternType="solid">
          <x:bgColor rgb="FFFCE9E7"/>
        </x:patternFill>
      </x:fill>
    </x:dxf>
    <x:dxf>
      <x:font>
        <x:color rgb="FF805B17"/>
      </x:font>
      <x:fill>
        <x:patternFill patternType="solid">
          <x:bgColor rgb="FFFFF3D9"/>
        </x:patternFill>
      </x:fill>
    </x:dxf>
    <x:dxf>
      <x:font>
        <x:color rgb="FF5D6572"/>
      </x:font>
      <x:fill>
        <x:patternFill patternType="solid">
          <x:bgColor rgb="FFECEFF3"/>
        </x:patternFill>
      </x:fill>
    </x:dxf>
    <x:dxf>
      <x:font>
        <x:color rgb="FF176A41"/>
      </x:font>
      <x:fill>
        <x:patternFill patternType="solid">
          <x:bgColor rgb="FFE3F3EA"/>
        </x:patternFill>
      </x:fill>
    </x:dxf>
    <x:dxf>
      <x:font>
        <x:color rgb="FFA62927"/>
      </x:font>
      <x:fill>
        <x:patternFill patternType="solid">
          <x:bgColor rgb="FFFCE9E7"/>
        </x:patternFill>
      </x:fill>
    </x:dxf>
    <x:dxf>
      <x:font>
        <x:color rgb="FF805B17"/>
      </x:font>
      <x:fill>
        <x:patternFill patternType="solid">
          <x:bgColor rgb="FFFFF3D9"/>
        </x:patternFill>
      </x:fill>
    </x:dxf>
    <x:dxf>
      <x:font>
        <x:color rgb="FF5D6572"/>
      </x:font>
      <x:fill>
        <x:patternFill patternType="solid">
          <x:bgColor rgb="FFECEF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100b1433744c0e" /><Relationship Type="http://schemas.openxmlformats.org/officeDocument/2006/relationships/theme" Target="/xl/theme/theme1.xml" Id="R037776bf9aaa4e7f" /><Relationship Type="http://schemas.openxmlformats.org/officeDocument/2006/relationships/sharedStrings" Target="/xl/sharedStrings.xml" Id="R60a3acb24eee414b" /><Relationship Type="http://schemas.openxmlformats.org/officeDocument/2006/relationships/worksheet" Target="/xl/worksheets/sheet1.xml" Id="Rf335e29be4f64b67" /><Relationship Type="http://schemas.openxmlformats.org/officeDocument/2006/relationships/worksheet" Target="/xl/worksheets/sheet2.xml" Id="R193a2137fef14426" /><Relationship Type="http://schemas.openxmlformats.org/officeDocument/2006/relationships/worksheet" Target="/xl/worksheets/sheet3.xml" Id="R828e2be89cc74b4a" /></Relationships>
</file>

<file path=xl/tables/table1.xml><?xml version="1.0" encoding="utf-8"?>
<x:table xmlns:x="http://schemas.openxmlformats.org/spreadsheetml/2006/main" id="1" name="AcceptanceMatrix" displayName="AcceptanceMatrix" ref="A5:T21" headerRowCount="1" totalsRowCount="0" totalsRowShown="0">
  <x:tableColumns count="20">
    <x:tableColumn id="1" name="Модель"/>
    <x:tableColumn id="2" name="Семейство прошивки"/>
    <x:tableColumn id="3" name="Точная версия / сборка"/>
    <x:tableColumn id="4" name="Ревизия / версия ПО"/>
    <x:tableColumn id="5" name="T01 Чтение"/>
    <x:tableColumn id="6" name="T02 LED вкл."/>
    <x:tableColumn id="7" name="T03 LED выкл."/>
    <x:tableColumn id="8" name="T04 Перезагрузка"/>
    <x:tableColumn id="9" name="T05 Сон"/>
    <x:tableColumn id="10" name="T06 Возобновить"/>
    <x:tableColumn id="11" name="T07 Low"/>
    <x:tableColumn id="12" name="T08 Normal"/>
    <x:tableColumn id="13" name="T09 HEM"/>
    <x:tableColumn id="14" name="S01 Опрос 1 ч"/>
    <x:tableColumn id="15" name="S02 Опрос 24 ч"/>
    <x:tableColumn id="16" name="S03 Обрыв связи"/>
    <x:tableColumn id="17" name="S04 Параллельность"/>
    <x:tableColumn id="18" name="S05 Отмена"/>
    <x:tableColumn id="19" name="Пройдено тестов"/>
    <x:tableColumn id="20" name="Журнал / замечания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enarios" displayName="Scenarios" ref="A5:F21" headerRowCount="1" totalsRowCount="0" totalsRowShown="0">
  <x:tableColumns count="6">
    <x:tableColumn id="1" name="ID"/>
    <x:tableColumn id="2" name="Проверка"/>
    <x:tableColumn id="3" name="Действия"/>
    <x:tableColumn id="4" name="Критерий успеха"/>
    <x:tableColumn id="5" name="Объём"/>
    <x:tableColumn id="6" name="Доказательство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Log" displayName="TestLog" ref="A5:L25" headerRowCount="1" totalsRowCount="0" totalsRowShown="0">
  <x:tableColumns count="12">
    <x:tableColumn id="1" name="Дата / время"/>
    <x:tableColumn id="2" name="Устройство / псевдоним"/>
    <x:tableColumn id="3" name="Паспорт: модель, FW, HW, ПО"/>
    <x:tableColumn id="4" name="Тест ID"/>
    <x:tableColumn id="5" name="Попыток"/>
    <x:tableColumn id="6" name="Успешных"/>
    <x:tableColumn id="7" name="Ошибок"/>
    <x:tableColumn id="8" name="Доля успеха"/>
    <x:tableColumn id="9" name="Длительность, с"/>
    <x:tableColumn id="10" name="Итог"/>
    <x:tableColumn id="11" name="Файл доказательства"/>
    <x:tableColumn id="12" name="Исполнитель / замечани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f0484a765d8463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250edbc92c846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97cb823a60b4444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23.1299991607666" hidden="0" customWidth="1"/>
    <x:col min="2" max="2" width="15" hidden="0" customWidth="1"/>
    <x:col min="3" max="3" width="20" hidden="0" customWidth="1"/>
    <x:col min="4" max="4" width="17.5" hidden="0" customWidth="1"/>
    <x:col min="5" max="5" width="15.630000114440918" hidden="0" customWidth="1"/>
    <x:col min="6" max="6" width="15.630000114440918" hidden="0" customWidth="1"/>
    <x:col min="7" max="7" width="15.630000114440918" hidden="0" customWidth="1"/>
    <x:col min="8" max="8" width="15.630000114440918" hidden="0" customWidth="1"/>
    <x:col min="9" max="9" width="15.630000114440918" hidden="0" customWidth="1"/>
    <x:col min="10" max="10" width="15.630000114440918" hidden="0" customWidth="1"/>
    <x:col min="11" max="11" width="15.630000114440918" hidden="0" customWidth="1"/>
    <x:col min="12" max="12" width="15.630000114440918" hidden="0" customWidth="1"/>
    <x:col min="13" max="13" width="15.630000114440918" hidden="0" customWidth="1"/>
    <x:col min="14" max="14" width="15.630000114440918" hidden="0" customWidth="1"/>
    <x:col min="15" max="15" width="15.630000114440918" hidden="0" customWidth="1"/>
    <x:col min="16" max="16" width="15.630000114440918" hidden="0" customWidth="1"/>
    <x:col min="17" max="17" width="15.630000114440918" hidden="0" customWidth="1"/>
    <x:col min="18" max="18" width="15.630000114440918" hidden="0" customWidth="1"/>
    <x:col min="19" max="19" width="15.630000114440918" hidden="0" customWidth="1"/>
    <x:col min="20" max="20" width="30" hidden="0" customWidth="1"/>
  </x:cols>
  <x:sheetData>
    <x:row r="1" ht="32" customHeight="1">
      <x:c r="A1" s="4" t="str">
        <x:v>ASIC Monitor · Матрица приёмки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48" customHeight="1">
      <x:c r="A2" s="3" t="str">
        <x:v>Заготовки, не подтверждённая совместимость. Каждая точная модель + ревизия + прошивка — отдельная строка. Начните с паспорта на листе «Журнал».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</x:row>
    <x:row r="3" ht="32" customHeight="1">
      <x:c r="A3" s="3" t="str">
        <x:v>Всего выполненных проверок →</x:v>
      </x:c>
      <x:c r="B3" s="3"/>
      <x:c r="C3" s="3"/>
      <x:c r="D3" s="3"/>
      <x:c r="E3" s="3" t="n">
        <x:f>COUNTIF(E6:R21,"✓ Пройден")+COUNTIF(E6:R21,"✗ Ошибка")</x:f>
        <x:v>0</x:v>
      </x:c>
      <x:c r="F3" s="3"/>
      <x:c r="G3" s="3" t="str">
        <x:v>Нет поддержки — укажите основание</x:v>
      </x:c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</x:row>
    <x:row r="5" ht="48" customHeight="1">
      <x:c r="A5" s="6" t="str">
        <x:v>Модель</x:v>
      </x:c>
      <x:c r="B5" s="6" t="str">
        <x:v>Семейство прошивки</x:v>
      </x:c>
      <x:c r="C5" s="6" t="str">
        <x:v>Точная версия / сборка</x:v>
      </x:c>
      <x:c r="D5" s="6" t="str">
        <x:v>Ревизия / версия ПО</x:v>
      </x:c>
      <x:c r="E5" s="6" t="str">
        <x:v>T01 Чтение</x:v>
      </x:c>
      <x:c r="F5" s="6" t="str">
        <x:v>T02 LED вкл.</x:v>
      </x:c>
      <x:c r="G5" s="6" t="str">
        <x:v>T03 LED выкл.</x:v>
      </x:c>
      <x:c r="H5" s="6" t="str">
        <x:v>T04 Перезагрузка</x:v>
      </x:c>
      <x:c r="I5" s="6" t="str">
        <x:v>T05 Сон</x:v>
      </x:c>
      <x:c r="J5" s="6" t="str">
        <x:v>T06 Возобновить</x:v>
      </x:c>
      <x:c r="K5" s="6" t="str">
        <x:v>T07 Low</x:v>
      </x:c>
      <x:c r="L5" s="6" t="str">
        <x:v>T08 Normal</x:v>
      </x:c>
      <x:c r="M5" s="6" t="str">
        <x:v>T09 HEM</x:v>
      </x:c>
      <x:c r="N5" s="6" t="str">
        <x:v>S01 Опрос 1 ч</x:v>
      </x:c>
      <x:c r="O5" s="6" t="str">
        <x:v>S02 Опрос 24 ч</x:v>
      </x:c>
      <x:c r="P5" s="6" t="str">
        <x:v>S03 Обрыв связи</x:v>
      </x:c>
      <x:c r="Q5" s="6" t="str">
        <x:v>S04 Параллельность</x:v>
      </x:c>
      <x:c r="R5" s="6" t="str">
        <x:v>S05 Отмена</x:v>
      </x:c>
      <x:c r="S5" s="6" t="str">
        <x:v>Пройдено тестов</x:v>
      </x:c>
      <x:c r="T5" s="6" t="str">
        <x:v>Журнал / замечания</x:v>
      </x:c>
    </x:row>
    <x:row r="6" ht="32" customHeight="1">
      <x:c r="A6" s="3" t="str">
        <x:v>Antminer Z15</x:v>
      </x:c>
      <x:c r="B6" s="3" t="str">
        <x:v>Stock</x:v>
      </x:c>
      <x:c r="C6" s="7" t="str">
        <x:v>Заполнить</x:v>
      </x:c>
      <x:c r="D6" s="7" t="str">
        <x:v>Заполнить</x:v>
      </x:c>
      <x:c r="E6" s="3" t="str">
        <x:v>Не проверено</x:v>
      </x:c>
      <x:c r="F6" s="3" t="str">
        <x:v>Не проверено</x:v>
      </x:c>
      <x:c r="G6" s="3" t="str">
        <x:v>Не проверено</x:v>
      </x:c>
      <x:c r="H6" s="3" t="str">
        <x:v>Не проверено</x:v>
      </x:c>
      <x:c r="I6" s="3" t="str">
        <x:v>Не проверено</x:v>
      </x:c>
      <x:c r="J6" s="3" t="str">
        <x:v>Не проверено</x:v>
      </x:c>
      <x:c r="K6" s="3" t="str">
        <x:v>Не проверено</x:v>
      </x:c>
      <x:c r="L6" s="3" t="str">
        <x:v>Не проверено</x:v>
      </x:c>
      <x:c r="M6" s="3" t="str">
        <x:v>Не проверено</x:v>
      </x:c>
      <x:c r="N6" s="3" t="str">
        <x:v>Не проверено</x:v>
      </x:c>
      <x:c r="O6" s="3" t="str">
        <x:v>Не проверено</x:v>
      </x:c>
      <x:c r="P6" s="3" t="str">
        <x:v>Не проверено</x:v>
      </x:c>
      <x:c r="Q6" s="3" t="str">
        <x:v>Не проверено</x:v>
      </x:c>
      <x:c r="R6" s="3" t="str">
        <x:v>Не проверено</x:v>
      </x:c>
      <x:c r="S6" s="3" t="n">
        <x:f>COUNTIF(E6:R6,"✓ Пройден")</x:f>
        <x:v>0</x:v>
      </x:c>
      <x:c r="T6" s="3" t="str"/>
    </x:row>
    <x:row r="7" ht="32" customHeight="1">
      <x:c r="A7" s="3" t="str">
        <x:v>Antminer S19</x:v>
      </x:c>
      <x:c r="B7" s="3" t="str">
        <x:v>Stock</x:v>
      </x:c>
      <x:c r="C7" s="7" t="str">
        <x:v>Заполнить</x:v>
      </x:c>
      <x:c r="D7" s="7" t="str">
        <x:v>Заполнить</x:v>
      </x:c>
      <x:c r="E7" s="3" t="str">
        <x:v>Не проверено</x:v>
      </x:c>
      <x:c r="F7" s="3" t="str">
        <x:v>Не проверено</x:v>
      </x:c>
      <x:c r="G7" s="3" t="str">
        <x:v>Не проверено</x:v>
      </x:c>
      <x:c r="H7" s="3" t="str">
        <x:v>Не проверено</x:v>
      </x:c>
      <x:c r="I7" s="3" t="str">
        <x:v>Не проверено</x:v>
      </x:c>
      <x:c r="J7" s="3" t="str">
        <x:v>Не проверено</x:v>
      </x:c>
      <x:c r="K7" s="3" t="str">
        <x:v>Не проверено</x:v>
      </x:c>
      <x:c r="L7" s="3" t="str">
        <x:v>Не проверено</x:v>
      </x:c>
      <x:c r="M7" s="3" t="str">
        <x:v>Не проверено</x:v>
      </x:c>
      <x:c r="N7" s="3" t="str">
        <x:v>Не проверено</x:v>
      </x:c>
      <x:c r="O7" s="3" t="str">
        <x:v>Не проверено</x:v>
      </x:c>
      <x:c r="P7" s="3" t="str">
        <x:v>Не проверено</x:v>
      </x:c>
      <x:c r="Q7" s="3" t="str">
        <x:v>Не проверено</x:v>
      </x:c>
      <x:c r="R7" s="3" t="str">
        <x:v>Не проверено</x:v>
      </x:c>
      <x:c r="S7" s="3" t="n">
        <x:f>COUNTIF(E7:R7,"✓ Пройден")</x:f>
        <x:v>0</x:v>
      </x:c>
      <x:c r="T7" s="3" t="str"/>
    </x:row>
    <x:row r="8" ht="32" customHeight="1">
      <x:c r="A8" s="3" t="str">
        <x:v>Antminer S21</x:v>
      </x:c>
      <x:c r="B8" s="3" t="str">
        <x:v>Stock</x:v>
      </x:c>
      <x:c r="C8" s="7" t="str">
        <x:v>Заполнить</x:v>
      </x:c>
      <x:c r="D8" s="7" t="str">
        <x:v>Заполнить</x:v>
      </x:c>
      <x:c r="E8" s="3" t="str">
        <x:v>Не проверено</x:v>
      </x:c>
      <x:c r="F8" s="3" t="str">
        <x:v>Не проверено</x:v>
      </x:c>
      <x:c r="G8" s="3" t="str">
        <x:v>Не проверено</x:v>
      </x:c>
      <x:c r="H8" s="3" t="str">
        <x:v>Не проверено</x:v>
      </x:c>
      <x:c r="I8" s="3" t="str">
        <x:v>Не проверено</x:v>
      </x:c>
      <x:c r="J8" s="3" t="str">
        <x:v>Не проверено</x:v>
      </x:c>
      <x:c r="K8" s="3" t="str">
        <x:v>Не проверено</x:v>
      </x:c>
      <x:c r="L8" s="3" t="str">
        <x:v>Не проверено</x:v>
      </x:c>
      <x:c r="M8" s="3" t="str">
        <x:v>Не проверено</x:v>
      </x:c>
      <x:c r="N8" s="3" t="str">
        <x:v>Не проверено</x:v>
      </x:c>
      <x:c r="O8" s="3" t="str">
        <x:v>Не проверено</x:v>
      </x:c>
      <x:c r="P8" s="3" t="str">
        <x:v>Не проверено</x:v>
      </x:c>
      <x:c r="Q8" s="3" t="str">
        <x:v>Не проверено</x:v>
      </x:c>
      <x:c r="R8" s="3" t="str">
        <x:v>Не проверено</x:v>
      </x:c>
      <x:c r="S8" s="3" t="n">
        <x:f>COUNTIF(E8:R8,"✓ Пройден")</x:f>
        <x:v>0</x:v>
      </x:c>
      <x:c r="T8" s="3" t="str"/>
    </x:row>
    <x:row r="9" ht="32" customHeight="1">
      <x:c r="A9" s="3" t="str">
        <x:v>Antminer D9</x:v>
      </x:c>
      <x:c r="B9" s="3" t="str">
        <x:v>Stock</x:v>
      </x:c>
      <x:c r="C9" s="7" t="str">
        <x:v>Заполнить</x:v>
      </x:c>
      <x:c r="D9" s="7" t="str">
        <x:v>Заполнить</x:v>
      </x:c>
      <x:c r="E9" s="3" t="str">
        <x:v>Не проверено</x:v>
      </x:c>
      <x:c r="F9" s="3" t="str">
        <x:v>Не проверено</x:v>
      </x:c>
      <x:c r="G9" s="3" t="str">
        <x:v>Не проверено</x:v>
      </x:c>
      <x:c r="H9" s="3" t="str">
        <x:v>Не проверено</x:v>
      </x:c>
      <x:c r="I9" s="3" t="str">
        <x:v>Не проверено</x:v>
      </x:c>
      <x:c r="J9" s="3" t="str">
        <x:v>Не проверено</x:v>
      </x:c>
      <x:c r="K9" s="3" t="str">
        <x:v>Не проверено</x:v>
      </x:c>
      <x:c r="L9" s="3" t="str">
        <x:v>Не проверено</x:v>
      </x:c>
      <x:c r="M9" s="3" t="str">
        <x:v>Не проверено</x:v>
      </x:c>
      <x:c r="N9" s="3" t="str">
        <x:v>Не проверено</x:v>
      </x:c>
      <x:c r="O9" s="3" t="str">
        <x:v>Не проверено</x:v>
      </x:c>
      <x:c r="P9" s="3" t="str">
        <x:v>Не проверено</x:v>
      </x:c>
      <x:c r="Q9" s="3" t="str">
        <x:v>Не проверено</x:v>
      </x:c>
      <x:c r="R9" s="3" t="str">
        <x:v>Не проверено</x:v>
      </x:c>
      <x:c r="S9" s="3" t="n">
        <x:f>COUNTIF(E9:R9,"✓ Пройден")</x:f>
        <x:v>0</x:v>
      </x:c>
      <x:c r="T9" s="3" t="str"/>
    </x:row>
    <x:row r="10" ht="32" customHeight="1">
      <x:c r="A10" s="3" t="str">
        <x:v>Antminer L7</x:v>
      </x:c>
      <x:c r="B10" s="3" t="str">
        <x:v>Stock</x:v>
      </x:c>
      <x:c r="C10" s="7" t="str">
        <x:v>Заполнить</x:v>
      </x:c>
      <x:c r="D10" s="7" t="str">
        <x:v>Заполнить</x:v>
      </x:c>
      <x:c r="E10" s="3" t="str">
        <x:v>Не проверено</x:v>
      </x:c>
      <x:c r="F10" s="3" t="str">
        <x:v>Не проверено</x:v>
      </x:c>
      <x:c r="G10" s="3" t="str">
        <x:v>Не проверено</x:v>
      </x:c>
      <x:c r="H10" s="3" t="str">
        <x:v>Не проверено</x:v>
      </x:c>
      <x:c r="I10" s="3" t="str">
        <x:v>Не проверено</x:v>
      </x:c>
      <x:c r="J10" s="3" t="str">
        <x:v>Не проверено</x:v>
      </x:c>
      <x:c r="K10" s="3" t="str">
        <x:v>Не проверено</x:v>
      </x:c>
      <x:c r="L10" s="3" t="str">
        <x:v>Не проверено</x:v>
      </x:c>
      <x:c r="M10" s="3" t="str">
        <x:v>Не проверено</x:v>
      </x:c>
      <x:c r="N10" s="3" t="str">
        <x:v>Не проверено</x:v>
      </x:c>
      <x:c r="O10" s="3" t="str">
        <x:v>Не проверено</x:v>
      </x:c>
      <x:c r="P10" s="3" t="str">
        <x:v>Не проверено</x:v>
      </x:c>
      <x:c r="Q10" s="3" t="str">
        <x:v>Не проверено</x:v>
      </x:c>
      <x:c r="R10" s="3" t="str">
        <x:v>Не проверено</x:v>
      </x:c>
      <x:c r="S10" s="3" t="n">
        <x:f>COUNTIF(E10:R10,"✓ Пройден")</x:f>
        <x:v>0</x:v>
      </x:c>
      <x:c r="T10" s="3" t="str"/>
    </x:row>
    <x:row r="11" ht="32" customHeight="1">
      <x:c r="A11" s="3" t="str">
        <x:v>Antminer L9</x:v>
      </x:c>
      <x:c r="B11" s="3" t="str">
        <x:v>Stock</x:v>
      </x:c>
      <x:c r="C11" s="7" t="str">
        <x:v>Заполнить</x:v>
      </x:c>
      <x:c r="D11" s="7" t="str">
        <x:v>Заполнить</x:v>
      </x:c>
      <x:c r="E11" s="3" t="str">
        <x:v>Не проверено</x:v>
      </x:c>
      <x:c r="F11" s="3" t="str">
        <x:v>Не проверено</x:v>
      </x:c>
      <x:c r="G11" s="3" t="str">
        <x:v>Не проверено</x:v>
      </x:c>
      <x:c r="H11" s="3" t="str">
        <x:v>Не проверено</x:v>
      </x:c>
      <x:c r="I11" s="3" t="str">
        <x:v>Не проверено</x:v>
      </x:c>
      <x:c r="J11" s="3" t="str">
        <x:v>Не проверено</x:v>
      </x:c>
      <x:c r="K11" s="3" t="str">
        <x:v>Не проверено</x:v>
      </x:c>
      <x:c r="L11" s="3" t="str">
        <x:v>Не проверено</x:v>
      </x:c>
      <x:c r="M11" s="3" t="str">
        <x:v>Не проверено</x:v>
      </x:c>
      <x:c r="N11" s="3" t="str">
        <x:v>Не проверено</x:v>
      </x:c>
      <x:c r="O11" s="3" t="str">
        <x:v>Не проверено</x:v>
      </x:c>
      <x:c r="P11" s="3" t="str">
        <x:v>Не проверено</x:v>
      </x:c>
      <x:c r="Q11" s="3" t="str">
        <x:v>Не проверено</x:v>
      </x:c>
      <x:c r="R11" s="3" t="str">
        <x:v>Не проверено</x:v>
      </x:c>
      <x:c r="S11" s="3" t="n">
        <x:f>COUNTIF(E11:R11,"✓ Пройден")</x:f>
        <x:v>0</x:v>
      </x:c>
      <x:c r="T11" s="3" t="str"/>
    </x:row>
    <x:row r="12" ht="32" customHeight="1">
      <x:c r="A12" s="3" t="str">
        <x:v>Укажите модель</x:v>
      </x:c>
      <x:c r="B12" s="3" t="str">
        <x:v>VNish</x:v>
      </x:c>
      <x:c r="C12" s="7" t="str">
        <x:v>Заполнить</x:v>
      </x:c>
      <x:c r="D12" s="7" t="str">
        <x:v>Заполнить</x:v>
      </x:c>
      <x:c r="E12" s="3" t="str">
        <x:v>Не проверено</x:v>
      </x:c>
      <x:c r="F12" s="3" t="str">
        <x:v>Не проверено</x:v>
      </x:c>
      <x:c r="G12" s="3" t="str">
        <x:v>Не проверено</x:v>
      </x:c>
      <x:c r="H12" s="3" t="str">
        <x:v>Не проверено</x:v>
      </x:c>
      <x:c r="I12" s="3" t="str">
        <x:v>Не проверено</x:v>
      </x:c>
      <x:c r="J12" s="3" t="str">
        <x:v>Не проверено</x:v>
      </x:c>
      <x:c r="K12" s="3" t="str">
        <x:v>Не проверено</x:v>
      </x:c>
      <x:c r="L12" s="3" t="str">
        <x:v>Не проверено</x:v>
      </x:c>
      <x:c r="M12" s="3" t="str">
        <x:v>Не проверено</x:v>
      </x:c>
      <x:c r="N12" s="3" t="str">
        <x:v>Не проверено</x:v>
      </x:c>
      <x:c r="O12" s="3" t="str">
        <x:v>Не проверено</x:v>
      </x:c>
      <x:c r="P12" s="3" t="str">
        <x:v>Не проверено</x:v>
      </x:c>
      <x:c r="Q12" s="3" t="str">
        <x:v>Не проверено</x:v>
      </x:c>
      <x:c r="R12" s="3" t="str">
        <x:v>Не проверено</x:v>
      </x:c>
      <x:c r="S12" s="3" t="n">
        <x:f>COUNTIF(E12:R12,"✓ Пройден")</x:f>
        <x:v>0</x:v>
      </x:c>
      <x:c r="T12" s="3" t="str"/>
    </x:row>
    <x:row r="13" ht="32" customHeight="1">
      <x:c r="A13" s="3" t="str">
        <x:v>Укажите модель</x:v>
      </x:c>
      <x:c r="B13" s="3" t="str">
        <x:v>PitBit</x:v>
      </x:c>
      <x:c r="C13" s="7" t="str">
        <x:v>Заполнить</x:v>
      </x:c>
      <x:c r="D13" s="7" t="str">
        <x:v>Заполнить</x:v>
      </x:c>
      <x:c r="E13" s="3" t="str">
        <x:v>Не проверено</x:v>
      </x:c>
      <x:c r="F13" s="3" t="str">
        <x:v>Не проверено</x:v>
      </x:c>
      <x:c r="G13" s="3" t="str">
        <x:v>Не проверено</x:v>
      </x:c>
      <x:c r="H13" s="3" t="str">
        <x:v>Не проверено</x:v>
      </x:c>
      <x:c r="I13" s="3" t="str">
        <x:v>Не проверено</x:v>
      </x:c>
      <x:c r="J13" s="3" t="str">
        <x:v>Не проверено</x:v>
      </x:c>
      <x:c r="K13" s="3" t="str">
        <x:v>Не проверено</x:v>
      </x:c>
      <x:c r="L13" s="3" t="str">
        <x:v>Не проверено</x:v>
      </x:c>
      <x:c r="M13" s="3" t="str">
        <x:v>Не проверено</x:v>
      </x:c>
      <x:c r="N13" s="3" t="str">
        <x:v>Не проверено</x:v>
      </x:c>
      <x:c r="O13" s="3" t="str">
        <x:v>Не проверено</x:v>
      </x:c>
      <x:c r="P13" s="3" t="str">
        <x:v>Не проверено</x:v>
      </x:c>
      <x:c r="Q13" s="3" t="str">
        <x:v>Не проверено</x:v>
      </x:c>
      <x:c r="R13" s="3" t="str">
        <x:v>Не проверено</x:v>
      </x:c>
      <x:c r="S13" s="3" t="n">
        <x:f>COUNTIF(E13:R13,"✓ Пройден")</x:f>
        <x:v>0</x:v>
      </x:c>
      <x:c r="T13" s="3" t="str"/>
    </x:row>
    <x:row r="14" ht="32" customHeight="1">
      <x:c r="A14" s="3" t="str">
        <x:v>Whatsminer (уточнить)</x:v>
      </x:c>
      <x:c r="B14" s="3" t="str">
        <x:v>Stock / RPC v3</x:v>
      </x:c>
      <x:c r="C14" s="7" t="str">
        <x:v>Заполнить</x:v>
      </x:c>
      <x:c r="D14" s="7" t="str">
        <x:v>Заполнить</x:v>
      </x:c>
      <x:c r="E14" s="3" t="str">
        <x:v>Не проверено</x:v>
      </x:c>
      <x:c r="F14" s="3" t="str">
        <x:v>Не проверено</x:v>
      </x:c>
      <x:c r="G14" s="3" t="str">
        <x:v>Не проверено</x:v>
      </x:c>
      <x:c r="H14" s="3" t="str">
        <x:v>Не проверено</x:v>
      </x:c>
      <x:c r="I14" s="3" t="str">
        <x:v>Не проверено</x:v>
      </x:c>
      <x:c r="J14" s="3" t="str">
        <x:v>Не проверено</x:v>
      </x:c>
      <x:c r="K14" s="3" t="str">
        <x:v>Не проверено</x:v>
      </x:c>
      <x:c r="L14" s="3" t="str">
        <x:v>Не проверено</x:v>
      </x:c>
      <x:c r="M14" s="3" t="str">
        <x:v>Не проверено</x:v>
      </x:c>
      <x:c r="N14" s="3" t="str">
        <x:v>Не проверено</x:v>
      </x:c>
      <x:c r="O14" s="3" t="str">
        <x:v>Не проверено</x:v>
      </x:c>
      <x:c r="P14" s="3" t="str">
        <x:v>Не проверено</x:v>
      </x:c>
      <x:c r="Q14" s="3" t="str">
        <x:v>Не проверено</x:v>
      </x:c>
      <x:c r="R14" s="3" t="str">
        <x:v>Не проверено</x:v>
      </x:c>
      <x:c r="S14" s="3" t="n">
        <x:f>COUNTIF(E14:R14,"✓ Пройден")</x:f>
        <x:v>0</x:v>
      </x:c>
      <x:c r="T14" s="3" t="str"/>
    </x:row>
    <x:row r="15" ht="32" customHeight="1">
      <x:c r="A15" s="3" t="str">
        <x:v>Avalon (уточнить)</x:v>
      </x:c>
      <x:c r="B15" s="3" t="str">
        <x:v>Stock</x:v>
      </x:c>
      <x:c r="C15" s="7" t="str">
        <x:v>Заполнить</x:v>
      </x:c>
      <x:c r="D15" s="7" t="str">
        <x:v>Заполнить</x:v>
      </x:c>
      <x:c r="E15" s="3" t="str">
        <x:v>Не проверено</x:v>
      </x:c>
      <x:c r="F15" s="3" t="str">
        <x:v>Не проверено</x:v>
      </x:c>
      <x:c r="G15" s="3" t="str">
        <x:v>Не проверено</x:v>
      </x:c>
      <x:c r="H15" s="3" t="str">
        <x:v>Не проверено</x:v>
      </x:c>
      <x:c r="I15" s="3" t="str">
        <x:v>Не проверено</x:v>
      </x:c>
      <x:c r="J15" s="3" t="str">
        <x:v>Не проверено</x:v>
      </x:c>
      <x:c r="K15" s="3" t="str">
        <x:v>Не проверено</x:v>
      </x:c>
      <x:c r="L15" s="3" t="str">
        <x:v>Не проверено</x:v>
      </x:c>
      <x:c r="M15" s="3" t="str">
        <x:v>Не проверено</x:v>
      </x:c>
      <x:c r="N15" s="3" t="str">
        <x:v>Не проверено</x:v>
      </x:c>
      <x:c r="O15" s="3" t="str">
        <x:v>Не проверено</x:v>
      </x:c>
      <x:c r="P15" s="3" t="str">
        <x:v>Не проверено</x:v>
      </x:c>
      <x:c r="Q15" s="3" t="str">
        <x:v>Не проверено</x:v>
      </x:c>
      <x:c r="R15" s="3" t="str">
        <x:v>Не проверено</x:v>
      </x:c>
      <x:c r="S15" s="3" t="n">
        <x:f>COUNTIF(E15:R15,"✓ Пройден")</x:f>
        <x:v>0</x:v>
      </x:c>
      <x:c r="T15" s="3" t="str"/>
    </x:row>
    <x:row r="16" ht="32" customHeight="1">
      <x:c r="A16" s="3" t="str">
        <x:v>Elphapex (уточнить)</x:v>
      </x:c>
      <x:c r="B16" s="3" t="str">
        <x:v>Stock</x:v>
      </x:c>
      <x:c r="C16" s="7" t="str">
        <x:v>Заполнить</x:v>
      </x:c>
      <x:c r="D16" s="7" t="str">
        <x:v>Заполнить</x:v>
      </x:c>
      <x:c r="E16" s="3" t="str">
        <x:v>Не проверено</x:v>
      </x:c>
      <x:c r="F16" s="3" t="str">
        <x:v>Не проверено</x:v>
      </x:c>
      <x:c r="G16" s="3" t="str">
        <x:v>Не проверено</x:v>
      </x:c>
      <x:c r="H16" s="3" t="str">
        <x:v>Не проверено</x:v>
      </x:c>
      <x:c r="I16" s="3" t="str">
        <x:v>Не проверено</x:v>
      </x:c>
      <x:c r="J16" s="3" t="str">
        <x:v>Не проверено</x:v>
      </x:c>
      <x:c r="K16" s="3" t="str">
        <x:v>Не проверено</x:v>
      </x:c>
      <x:c r="L16" s="3" t="str">
        <x:v>Не проверено</x:v>
      </x:c>
      <x:c r="M16" s="3" t="str">
        <x:v>Не проверено</x:v>
      </x:c>
      <x:c r="N16" s="3" t="str">
        <x:v>Не проверено</x:v>
      </x:c>
      <x:c r="O16" s="3" t="str">
        <x:v>Не проверено</x:v>
      </x:c>
      <x:c r="P16" s="3" t="str">
        <x:v>Не проверено</x:v>
      </x:c>
      <x:c r="Q16" s="3" t="str">
        <x:v>Не проверено</x:v>
      </x:c>
      <x:c r="R16" s="3" t="str">
        <x:v>Не проверено</x:v>
      </x:c>
      <x:c r="S16" s="3" t="n">
        <x:f>COUNTIF(E16:R16,"✓ Пройден")</x:f>
        <x:v>0</x:v>
      </x:c>
      <x:c r="T16" s="3" t="str"/>
    </x:row>
    <x:row r="17" ht="32" customHeight="1">
      <x:c r="A17" s="3" t="str">
        <x:v>iPollo (уточнить)</x:v>
      </x:c>
      <x:c r="B17" s="3" t="str">
        <x:v>Stock</x:v>
      </x:c>
      <x:c r="C17" s="7" t="str">
        <x:v>Заполнить</x:v>
      </x:c>
      <x:c r="D17" s="7" t="str">
        <x:v>Заполнить</x:v>
      </x:c>
      <x:c r="E17" s="3" t="str">
        <x:v>Не проверено</x:v>
      </x:c>
      <x:c r="F17" s="3" t="str">
        <x:v>Не проверено</x:v>
      </x:c>
      <x:c r="G17" s="3" t="str">
        <x:v>Не проверено</x:v>
      </x:c>
      <x:c r="H17" s="3" t="str">
        <x:v>Не проверено</x:v>
      </x:c>
      <x:c r="I17" s="3" t="str">
        <x:v>Не проверено</x:v>
      </x:c>
      <x:c r="J17" s="3" t="str">
        <x:v>Не проверено</x:v>
      </x:c>
      <x:c r="K17" s="3" t="str">
        <x:v>Не проверено</x:v>
      </x:c>
      <x:c r="L17" s="3" t="str">
        <x:v>Не проверено</x:v>
      </x:c>
      <x:c r="M17" s="3" t="str">
        <x:v>Не проверено</x:v>
      </x:c>
      <x:c r="N17" s="3" t="str">
        <x:v>Не проверено</x:v>
      </x:c>
      <x:c r="O17" s="3" t="str">
        <x:v>Не проверено</x:v>
      </x:c>
      <x:c r="P17" s="3" t="str">
        <x:v>Не проверено</x:v>
      </x:c>
      <x:c r="Q17" s="3" t="str">
        <x:v>Не проверено</x:v>
      </x:c>
      <x:c r="R17" s="3" t="str">
        <x:v>Не проверено</x:v>
      </x:c>
      <x:c r="S17" s="3" t="n">
        <x:f>COUNTIF(E17:R17,"✓ Пройден")</x:f>
        <x:v>0</x:v>
      </x:c>
      <x:c r="T17" s="3" t="str"/>
    </x:row>
    <x:row r="18" ht="32" customHeight="1">
      <x:c r="A18" s="3" t="str">
        <x:v>Jasminer (уточнить)</x:v>
      </x:c>
      <x:c r="B18" s="3" t="str">
        <x:v>Stock</x:v>
      </x:c>
      <x:c r="C18" s="7" t="str">
        <x:v>Заполнить</x:v>
      </x:c>
      <x:c r="D18" s="7" t="str">
        <x:v>Заполнить</x:v>
      </x:c>
      <x:c r="E18" s="3" t="str">
        <x:v>Не проверено</x:v>
      </x:c>
      <x:c r="F18" s="3" t="str">
        <x:v>Не проверено</x:v>
      </x:c>
      <x:c r="G18" s="3" t="str">
        <x:v>Не проверено</x:v>
      </x:c>
      <x:c r="H18" s="3" t="str">
        <x:v>Не проверено</x:v>
      </x:c>
      <x:c r="I18" s="3" t="str">
        <x:v>Не проверено</x:v>
      </x:c>
      <x:c r="J18" s="3" t="str">
        <x:v>Не проверено</x:v>
      </x:c>
      <x:c r="K18" s="3" t="str">
        <x:v>Не проверено</x:v>
      </x:c>
      <x:c r="L18" s="3" t="str">
        <x:v>Не проверено</x:v>
      </x:c>
      <x:c r="M18" s="3" t="str">
        <x:v>Не проверено</x:v>
      </x:c>
      <x:c r="N18" s="3" t="str">
        <x:v>Не проверено</x:v>
      </x:c>
      <x:c r="O18" s="3" t="str">
        <x:v>Не проверено</x:v>
      </x:c>
      <x:c r="P18" s="3" t="str">
        <x:v>Не проверено</x:v>
      </x:c>
      <x:c r="Q18" s="3" t="str">
        <x:v>Не проверено</x:v>
      </x:c>
      <x:c r="R18" s="3" t="str">
        <x:v>Не проверено</x:v>
      </x:c>
      <x:c r="S18" s="3" t="n">
        <x:f>COUNTIF(E18:R18,"✓ Пройден")</x:f>
        <x:v>0</x:v>
      </x:c>
      <x:c r="T18" s="3" t="str"/>
    </x:row>
    <x:row r="19" ht="32" customHeight="1">
      <x:c r="A19" s="3" t="str">
        <x:v>Укажите модель</x:v>
      </x:c>
      <x:c r="B19" s="3" t="str">
        <x:v>CGMiner</x:v>
      </x:c>
      <x:c r="C19" s="7" t="str">
        <x:v>Заполнить</x:v>
      </x:c>
      <x:c r="D19" s="7" t="str">
        <x:v>Заполнить</x:v>
      </x:c>
      <x:c r="E19" s="3" t="str">
        <x:v>Не проверено</x:v>
      </x:c>
      <x:c r="F19" s="3" t="str">
        <x:v>Не проверено</x:v>
      </x:c>
      <x:c r="G19" s="3" t="str">
        <x:v>Не проверено</x:v>
      </x:c>
      <x:c r="H19" s="3" t="str">
        <x:v>Не проверено</x:v>
      </x:c>
      <x:c r="I19" s="3" t="str">
        <x:v>Не проверено</x:v>
      </x:c>
      <x:c r="J19" s="3" t="str">
        <x:v>Не проверено</x:v>
      </x:c>
      <x:c r="K19" s="3" t="str">
        <x:v>Не проверено</x:v>
      </x:c>
      <x:c r="L19" s="3" t="str">
        <x:v>Не проверено</x:v>
      </x:c>
      <x:c r="M19" s="3" t="str">
        <x:v>Не проверено</x:v>
      </x:c>
      <x:c r="N19" s="3" t="str">
        <x:v>Не проверено</x:v>
      </x:c>
      <x:c r="O19" s="3" t="str">
        <x:v>Не проверено</x:v>
      </x:c>
      <x:c r="P19" s="3" t="str">
        <x:v>Не проверено</x:v>
      </x:c>
      <x:c r="Q19" s="3" t="str">
        <x:v>Не проверено</x:v>
      </x:c>
      <x:c r="R19" s="3" t="str">
        <x:v>Не проверено</x:v>
      </x:c>
      <x:c r="S19" s="3" t="n">
        <x:f>COUNTIF(E19:R19,"✓ Пройден")</x:f>
        <x:v>0</x:v>
      </x:c>
      <x:c r="T19" s="3" t="str"/>
    </x:row>
    <x:row r="20" ht="32" customHeight="1">
      <x:c r="A20" s="3" t="str">
        <x:v>Укажите модель</x:v>
      </x:c>
      <x:c r="B20" s="3" t="str">
        <x:v>CGMiner Web</x:v>
      </x:c>
      <x:c r="C20" s="7" t="str">
        <x:v>Заполнить</x:v>
      </x:c>
      <x:c r="D20" s="7" t="str">
        <x:v>Заполнить</x:v>
      </x:c>
      <x:c r="E20" s="3" t="str">
        <x:v>Не проверено</x:v>
      </x:c>
      <x:c r="F20" s="3" t="str">
        <x:v>Не проверено</x:v>
      </x:c>
      <x:c r="G20" s="3" t="str">
        <x:v>Не проверено</x:v>
      </x:c>
      <x:c r="H20" s="3" t="str">
        <x:v>Не проверено</x:v>
      </x:c>
      <x:c r="I20" s="3" t="str">
        <x:v>Не проверено</x:v>
      </x:c>
      <x:c r="J20" s="3" t="str">
        <x:v>Не проверено</x:v>
      </x:c>
      <x:c r="K20" s="3" t="str">
        <x:v>Не проверено</x:v>
      </x:c>
      <x:c r="L20" s="3" t="str">
        <x:v>Не проверено</x:v>
      </x:c>
      <x:c r="M20" s="3" t="str">
        <x:v>Не проверено</x:v>
      </x:c>
      <x:c r="N20" s="3" t="str">
        <x:v>Не проверено</x:v>
      </x:c>
      <x:c r="O20" s="3" t="str">
        <x:v>Не проверено</x:v>
      </x:c>
      <x:c r="P20" s="3" t="str">
        <x:v>Не проверено</x:v>
      </x:c>
      <x:c r="Q20" s="3" t="str">
        <x:v>Не проверено</x:v>
      </x:c>
      <x:c r="R20" s="3" t="str">
        <x:v>Не проверено</x:v>
      </x:c>
      <x:c r="S20" s="3" t="n">
        <x:f>COUNTIF(E20:R20,"✓ Пройден")</x:f>
        <x:v>0</x:v>
      </x:c>
      <x:c r="T20" s="3" t="str"/>
    </x:row>
    <x:row r="21" ht="32" customHeight="1">
      <x:c r="A21" s="3" t="str">
        <x:v>Новая модель</x:v>
      </x:c>
      <x:c r="B21" s="3" t="str">
        <x:v>Укажите</x:v>
      </x:c>
      <x:c r="C21" s="7" t="str">
        <x:v>Заполнить</x:v>
      </x:c>
      <x:c r="D21" s="7" t="str">
        <x:v>Заполнить</x:v>
      </x:c>
      <x:c r="E21" s="3" t="str">
        <x:v>Не проверено</x:v>
      </x:c>
      <x:c r="F21" s="3" t="str">
        <x:v>Не проверено</x:v>
      </x:c>
      <x:c r="G21" s="3" t="str">
        <x:v>Не проверено</x:v>
      </x:c>
      <x:c r="H21" s="3" t="str">
        <x:v>Не проверено</x:v>
      </x:c>
      <x:c r="I21" s="3" t="str">
        <x:v>Не проверено</x:v>
      </x:c>
      <x:c r="J21" s="3" t="str">
        <x:v>Не проверено</x:v>
      </x:c>
      <x:c r="K21" s="3" t="str">
        <x:v>Не проверено</x:v>
      </x:c>
      <x:c r="L21" s="3" t="str">
        <x:v>Не проверено</x:v>
      </x:c>
      <x:c r="M21" s="3" t="str">
        <x:v>Не проверено</x:v>
      </x:c>
      <x:c r="N21" s="3" t="str">
        <x:v>Не проверено</x:v>
      </x:c>
      <x:c r="O21" s="3" t="str">
        <x:v>Не проверено</x:v>
      </x:c>
      <x:c r="P21" s="3" t="str">
        <x:v>Не проверено</x:v>
      </x:c>
      <x:c r="Q21" s="3" t="str">
        <x:v>Не проверено</x:v>
      </x:c>
      <x:c r="R21" s="3" t="str">
        <x:v>Не проверено</x:v>
      </x:c>
      <x:c r="S21" s="3" t="n">
        <x:f>COUNTIF(E21:R21,"✓ Пройден")</x:f>
        <x:v>0</x:v>
      </x:c>
      <x:c r="T21" s="3" t="str"/>
    </x:row>
    <x:row r="22" ht="32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</x:row>
    <x:row r="23" ht="32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</x:row>
    <x:row r="24" ht="32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</x:row>
    <x:row r="25" ht="32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</x:row>
  </x:sheetData>
  <x:mergeCells>
    <x:mergeCell ref="A1:F1"/>
    <x:mergeCell ref="A2:F2"/>
    <x:mergeCell ref="A3:D3"/>
    <x:mergeCell ref="G3:H3"/>
  </x:mergeCells>
  <x:conditionalFormatting sqref="E6:R21">
    <x:cfRule type="containsText" dxfId="0" priority="1" operator="containsText" text="✓ Пройден"/>
    <x:cfRule type="containsText" dxfId="1" priority="2" operator="containsText" text="✗ Ошибка"/>
    <x:cfRule type="containsText" dxfId="2" priority="3" operator="containsText" text="Не проверено"/>
    <x:cfRule type="containsText" dxfId="3" priority="4" operator="containsText" text="Не поддерживается"/>
  </x:conditionalFormatting>
  <x:dataValidations count="1">
    <x:dataValidation type="list" sqref="E6:R21">
      <x:formula1>"Не проверено,✓ Пройден,✗ Ошибка,Не поддерживается"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0484a765d8463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9.380000114440918" hidden="0" customWidth="1"/>
    <x:col min="2" max="2" width="21.8799991607666" hidden="0" customWidth="1"/>
    <x:col min="3" max="3" width="48.130001068115234" hidden="0" customWidth="1"/>
    <x:col min="4" max="4" width="53.130001068115234" hidden="0" customWidth="1"/>
    <x:col min="5" max="5" width="25.6299991607666" hidden="0" customWidth="1"/>
    <x:col min="6" max="6" width="28.75" hidden="0" customWidth="1"/>
  </x:cols>
  <x:sheetData>
    <x:row r="1" ht="32" customHeight="1">
      <x:c r="A1" s="4" t="str">
        <x:v>Протокол испытаний</x:v>
      </x:c>
      <x:c r="B1" s="3"/>
      <x:c r="C1" s="3"/>
      <x:c r="D1" s="3"/>
      <x:c r="E1" s="3"/>
      <x:c r="F1" s="3"/>
    </x:row>
    <x:row r="2" ht="48" customHeight="1">
      <x:c r="A2" s="3" t="str">
        <x:v>Управление — вручную на тестовом ASIC. До начала запишите режим и согласуйте время восстановления. HTTP 200 не равен успешному выполнению.</x:v>
      </x:c>
      <x:c r="B2" s="3"/>
      <x:c r="C2" s="3"/>
      <x:c r="D2" s="3"/>
      <x:c r="E2" s="3"/>
      <x:c r="F2" s="3"/>
    </x:row>
    <x:row r="3" ht="32" customHeight="1">
      <x:c r="A3" s="3"/>
      <x:c r="B3" s="3"/>
      <x:c r="C3" s="3"/>
      <x:c r="D3" s="3"/>
      <x:c r="E3" s="3"/>
      <x:c r="F3" s="3"/>
    </x:row>
    <x:row r="4" ht="32" customHeight="1">
      <x:c r="A4" s="3"/>
      <x:c r="B4" s="3"/>
      <x:c r="C4" s="3"/>
      <x:c r="D4" s="3"/>
      <x:c r="E4" s="3"/>
      <x:c r="F4" s="3"/>
    </x:row>
    <x:row r="5" ht="48" customHeight="1">
      <x:c r="A5" s="6" t="str">
        <x:v>ID</x:v>
      </x:c>
      <x:c r="B5" s="6" t="str">
        <x:v>Проверка</x:v>
      </x:c>
      <x:c r="C5" s="6" t="str">
        <x:v>Действия</x:v>
      </x:c>
      <x:c r="D5" s="6" t="str">
        <x:v>Критерий успеха</x:v>
      </x:c>
      <x:c r="E5" s="6" t="str">
        <x:v>Объём</x:v>
      </x:c>
      <x:c r="F5" s="6" t="str">
        <x:v>Доказательство</x:v>
      </x:c>
    </x:row>
    <x:row r="6" ht="100" customHeight="1">
      <x:c r="A6" s="3" t="str">
        <x:v>T01</x:v>
      </x:c>
      <x:c r="B6" s="3" t="str">
        <x:v>Модель и телеметрия</x:v>
      </x:c>
      <x:c r="C6" s="3" t="str">
        <x:v>Выполнить первый и повторный опрос. Сверить модель, сборку, единицы хешрейта, температуру, вентиляторы и uptime с веб-интерфейсом.</x:v>
      </x:c>
      <x:c r="D6" s="3" t="str">
        <x:v>Модель/сборка точны; показатели в согласованном допуске; отсутствующие данные не превращаются в нули.</x:v>
      </x:c>
      <x:c r="E6" s="3" t="str">
        <x:v>2 опроса</x:v>
      </x:c>
      <x:c r="F6" s="3" t="str">
        <x:v>ZIP + снимок веб-интерфейса</x:v>
      </x:c>
    </x:row>
    <x:row r="7" ht="100" customHeight="1">
      <x:c r="A7" s="3" t="str">
        <x:v>T02</x:v>
      </x:c>
      <x:c r="B7" s="3" t="str">
        <x:v>Подсветка: включить</x:v>
      </x:c>
      <x:c r="C7" s="3" t="str">
        <x:v>Послать одну команду LED ON и осмотреть устройство.</x:v>
      </x:c>
      <x:c r="D7" s="3" t="str">
        <x:v>Нужный индикатор действительно включился на нужном ASIC.</x:v>
      </x:c>
      <x:c r="E7" s="3" t="str">
        <x:v>1 раз</x:v>
      </x:c>
      <x:c r="F7" s="3" t="str">
        <x:v>Фото / наблюдение</x:v>
      </x:c>
    </x:row>
    <x:row r="8" ht="100" customHeight="1">
      <x:c r="A8" s="3" t="str">
        <x:v>T03</x:v>
      </x:c>
      <x:c r="B8" s="3" t="str">
        <x:v>Подсветка: выключить</x:v>
      </x:c>
      <x:c r="C8" s="3" t="str">
        <x:v>После T02 послать LED OFF.</x:v>
      </x:c>
      <x:c r="D8" s="3" t="str">
        <x:v>Индикатор выключен; добыча не нарушена.</x:v>
      </x:c>
      <x:c r="E8" s="3" t="str">
        <x:v>1 раз</x:v>
      </x:c>
      <x:c r="F8" s="3" t="str">
        <x:v>Фото / наблюдение</x:v>
      </x:c>
    </x:row>
    <x:row r="9" ht="100" customHeight="1">
      <x:c r="A9" s="3" t="str">
        <x:v>T04</x:v>
      </x:c>
      <x:c r="B9" s="3" t="str">
        <x:v>Перезагрузка</x:v>
      </x:c>
      <x:c r="C9" s="3" t="str">
        <x:v>Записать uptime. Послать reboot один раз. Дождаться возвращения устройства.</x:v>
      </x:c>
      <x:c r="D9" s="3" t="str">
        <x:v>Новый uptime меньше исходного; идентичность та же; майнинг возобновился. Таймаут команды не считается успехом.</x:v>
      </x:c>
      <x:c r="E9" s="3" t="str">
        <x:v>1 раз; лимит ожидания записать</x:v>
      </x:c>
      <x:c r="F9" s="3" t="str">
        <x:v>ZIP до/после + время возврата</x:v>
      </x:c>
    </x:row>
    <x:row r="10" ht="100" customHeight="1">
      <x:c r="A10" s="3" t="str">
        <x:v>T05</x:v>
      </x:c>
      <x:c r="B10" s="3" t="str">
        <x:v>Остановить майнинг</x:v>
      </x:c>
      <x:c r="C10" s="3" t="str">
        <x:v>Записать исходный режим; послать stop/sleep. Повторно прочитать состояние.</x:v>
      </x:c>
      <x:c r="D10" s="3" t="str">
        <x:v>Добыча остановлена, состояние подтверждено API/веб-интерфейсом. Учесть окно усреднения хешрейта.</x:v>
      </x:c>
      <x:c r="E10" s="3" t="str">
        <x:v>1 раз</x:v>
      </x:c>
      <x:c r="F10" s="3" t="str">
        <x:v>Режим + показатели после ожидания</x:v>
      </x:c>
    </x:row>
    <x:row r="11" ht="100" customHeight="1">
      <x:c r="A11" s="3" t="str">
        <x:v>T06</x:v>
      </x:c>
      <x:c r="B11" s="3" t="str">
        <x:v>Возобновить майнинг</x:v>
      </x:c>
      <x:c r="C11" s="3" t="str">
        <x:v>После T05 послать start/resume и дождаться штатного разгона.</x:v>
      </x:c>
      <x:c r="D11" s="3" t="str">
        <x:v>Рабочее состояние и хешрейт восстановлены; пулы и настройки сохранены.</x:v>
      </x:c>
      <x:c r="E11" s="3" t="str">
        <x:v>1 раз</x:v>
      </x:c>
      <x:c r="F11" s="3" t="str">
        <x:v>ZIP + время восстановления</x:v>
      </x:c>
    </x:row>
    <x:row r="12" ht="100" customHeight="1">
      <x:c r="A12" s="3" t="str">
        <x:v>T07</x:v>
      </x:c>
      <x:c r="B12" s="3" t="str">
        <x:v>Режим Low</x:v>
      </x:c>
      <x:c r="C12" s="3" t="str">
        <x:v>Если доступен, включить Low; перечитать режим и измерить показатели после стабилизации.</x:v>
      </x:c>
      <x:c r="D12" s="3" t="str">
        <x:v>API подтверждает Low; показатели соответствуют документации. Другие настройки не потеряны.</x:v>
      </x:c>
      <x:c r="E12" s="3" t="str">
        <x:v>1 раз</x:v>
      </x:c>
      <x:c r="F12" s="3" t="str">
        <x:v>Режим до/после</x:v>
      </x:c>
    </x:row>
    <x:row r="13" ht="100" customHeight="1">
      <x:c r="A13" s="3" t="str">
        <x:v>T08</x:v>
      </x:c>
      <x:c r="B13" s="3" t="str">
        <x:v>Режим Normal</x:v>
      </x:c>
      <x:c r="C13" s="3" t="str">
        <x:v>Включить Normal и дождаться стабилизации.</x:v>
      </x:c>
      <x:c r="D13" s="3" t="str">
        <x:v>Возврат к Normal подтверждён чтением; штатный хешрейт восстановлен.</x:v>
      </x:c>
      <x:c r="E13" s="3" t="str">
        <x:v>1 раз</x:v>
      </x:c>
      <x:c r="F13" s="3" t="str">
        <x:v>Режим до/после</x:v>
      </x:c>
    </x:row>
    <x:row r="14" ht="100" customHeight="1">
      <x:c r="A14" s="3" t="str">
        <x:v>T09</x:v>
      </x:c>
      <x:c r="B14" s="3" t="str">
        <x:v>Режим HEM</x:v>
      </x:c>
      <x:c r="C14" s="3" t="str">
        <x:v>Только если модель и прошивка его поддерживают: включить HEM, проверить, вернуть исходный режим.</x:v>
      </x:c>
      <x:c r="D14" s="3" t="str">
        <x:v>Режим подтверждён; температуры в допустимых пределах производителя. Иначе зафиксировать отсутствие поддержки.</x:v>
      </x:c>
      <x:c r="E14" s="3" t="str">
        <x:v>1 раз</x:v>
      </x:c>
      <x:c r="F14" s="3" t="str">
        <x:v>Режим / температуры / основание НП</x:v>
      </x:c>
    </x:row>
    <x:row r="15" ht="100" customHeight="1">
      <x:c r="A15" s="3" t="str">
        <x:v>S01</x:v>
      </x:c>
      <x:c r="B15" s="3" t="str">
        <x:v>Повторный опрос 1 ч</x:v>
      </x:c>
      <x:c r="C15" s="3" t="str">
        <x:v>120 циклов с паузой 30 с после цикла. Записать фактическую длительность.</x:v>
      </x:c>
      <x:c r="D15" s="3" t="str">
        <x:v>0 необъяснённых ошибок на стабильной сети, нет дублей, зависаний и потери идентичности.</x:v>
      </x:c>
      <x:c r="E15" s="3" t="str">
        <x:v>120 циклов; workers 8</x:v>
      </x:c>
      <x:c r="F15" s="3" t="str">
        <x:v>ZIP; ошибки/циклы; задержки</x:v>
      </x:c>
    </x:row>
    <x:row r="16" ht="100" customHeight="1">
      <x:c r="A16" s="3" t="str">
        <x:v>S02</x:v>
      </x:c>
      <x:c r="B16" s="3" t="str">
        <x:v>Повторный опрос 24 ч</x:v>
      </x:c>
      <x:c r="C16" s="3" t="str">
        <x:v>2880 циклов с паузой 30 с. Периодически фиксировать память процесса и отклик GUI отдельно.</x:v>
      </x:c>
      <x:c r="D16" s="3" t="str">
        <x:v>Нет зависаний и устойчивого роста памяти после прогрева. Порог памяти согласовать до старта.</x:v>
      </x:c>
      <x:c r="E16" s="3" t="str">
        <x:v>Не менее 24 ч</x:v>
      </x:c>
      <x:c r="F16" s="3" t="str">
        <x:v>ZIP; замеры RAM; длительность</x:v>
      </x:c>
    </x:row>
    <x:row r="17" ht="100" customHeight="1">
      <x:c r="A17" s="3" t="str">
        <x:v>S03</x:v>
      </x:c>
      <x:c r="B17" s="3" t="str">
        <x:v>Потеря и возврат связи</x:v>
      </x:c>
      <x:c r="C17" s="3" t="str">
        <x:v>После успешного чтения временно отключить сеть тестового ASIC; затем восстановить.</x:v>
      </x:c>
      <x:c r="D17" s="3" t="str">
        <x:v>Старые данные помечены устаревшими; после возврата снова появляются свежие показатели.</x:v>
      </x:c>
      <x:c r="E17" s="3" t="str">
        <x:v>3 цикла отключения</x:v>
      </x:c>
      <x:c r="F17" s="3" t="str">
        <x:v>ZIP + время восстановления</x:v>
      </x:c>
    </x:row>
    <x:row r="18" ht="100" customHeight="1">
      <x:c r="A18" s="3" t="str">
        <x:v>S04</x:v>
      </x:c>
      <x:c r="B18" s="3" t="str">
        <x:v>Параллельное сканирование</x:v>
      </x:c>
      <x:c r="C18" s="3" t="str">
        <x:v>Одинаковый диапазон: workers 1, 8, 16; по 3 прогона. Записать число адресов и активных ASIC.</x:v>
      </x:c>
      <x:c r="D18" s="3" t="str">
        <x:v>Состав устройств одинаков; сравнить длительность/ошибки. Повышение потоков не должно терять устройства.</x:v>
      </x:c>
      <x:c r="E18" s="3" t="str">
        <x:v>9 прогонов</x:v>
      </x:c>
      <x:c r="F18" s="3" t="str">
        <x:v>3 ZIP на каждую настройку</x:v>
      </x:c>
    </x:row>
    <x:row r="19" ht="100" customHeight="1">
      <x:c r="A19" s="3" t="str">
        <x:v>S05</x:v>
      </x:c>
      <x:c r="B19" s="3" t="str">
        <x:v>Отмена и повторный старт</x:v>
      </x:c>
      <x:c r="C19" s="3" t="str">
        <x:v>Запустить длинный диапазон, отменить. Затем выполнить новый опрос.</x:v>
      </x:c>
      <x:c r="D19" s="3" t="str">
        <x:v>Процесс завершает запросы в пределах бюджета устройства + запас 5 с; повторный запуск работает.</x:v>
      </x:c>
      <x:c r="E19" s="3" t="str">
        <x:v>3 повтора</x:v>
      </x:c>
      <x:c r="F19" s="3" t="str">
        <x:v>Частичный ZIP + время отмены</x:v>
      </x:c>
    </x:row>
    <x:row r="20" ht="100" customHeight="1">
      <x:c r="A20" s="3" t="str">
        <x:v>X01</x:v>
      </x:c>
      <x:c r="B20" s="3" t="str">
        <x:v>Экспорт GUI</x:v>
      </x:c>
      <x:c r="C20" s="3" t="str">
        <x:v>На реальных данных проверить PNG из буфера, PDF и XLSX.</x:v>
      </x:c>
      <x:c r="D20" s="3" t="str">
        <x:v>PNG содержит видимые итоги и таблицу; PDF/XLSX имеют нужные колонки и корректные значения.</x:v>
      </x:c>
      <x:c r="E20" s="3" t="str">
        <x:v>После T01</x:v>
      </x:c>
      <x:c r="F20" s="3" t="str">
        <x:v>Файлы отчётов; хранить локально</x:v>
      </x:c>
    </x:row>
    <x:row r="21" ht="100" customHeight="1">
      <x:c r="A21" s="3" t="str">
        <x:v>X02</x:v>
      </x:c>
      <x:c r="B21" s="3" t="str">
        <x:v>Неверный пароль</x:v>
      </x:c>
      <x:c r="C21" s="3" t="str">
        <x:v>В отдельном сеансе задать неверный пароль, потом верный.</x:v>
      </x:c>
      <x:c r="D21" s="3" t="str">
        <x:v>Отказ не считается отсутствием функции; после корректного входа чтение восстанавливается.</x:v>
      </x:c>
      <x:c r="E21" s="3" t="str">
        <x:v>1 пара попыток</x:v>
      </x:c>
      <x:c r="F21" s="3" t="str">
        <x:v>Классы ошибок без пароля</x:v>
      </x:c>
    </x:row>
    <x:row r="22" ht="32" customHeight="1">
      <x:c r="A22" s="3"/>
      <x:c r="B22" s="3"/>
      <x:c r="C22" s="3"/>
      <x:c r="D22" s="3"/>
      <x:c r="E22" s="3"/>
      <x:c r="F22" s="3"/>
    </x:row>
    <x:row r="23" ht="32" customHeight="1">
      <x:c r="A23" s="3"/>
      <x:c r="B23" s="3"/>
      <x:c r="C23" s="3"/>
      <x:c r="D23" s="3"/>
      <x:c r="E23" s="3"/>
      <x:c r="F23" s="3"/>
    </x:row>
    <x:row r="24" ht="32" customHeight="1">
      <x:c r="A24" s="3"/>
      <x:c r="B24" s="3"/>
      <x:c r="C24" s="3"/>
      <x:c r="D24" s="3"/>
      <x:c r="E24" s="3"/>
      <x:c r="F24" s="3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250edbc92c8464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7.5" hidden="0" customWidth="1"/>
    <x:col min="2" max="2" width="16.25" hidden="0" customWidth="1"/>
    <x:col min="3" max="3" width="23.1299991607666" hidden="0" customWidth="1"/>
    <x:col min="4" max="4" width="10.630000114440918" hidden="0" customWidth="1"/>
    <x:col min="5" max="5" width="13.75" hidden="0" customWidth="1"/>
    <x:col min="6" max="6" width="13.75" hidden="0" customWidth="1"/>
    <x:col min="7" max="7" width="13.75" hidden="0" customWidth="1"/>
    <x:col min="8" max="8" width="15" hidden="0" customWidth="1"/>
    <x:col min="9" max="9" width="17.5" hidden="0" customWidth="1"/>
    <x:col min="10" max="10" width="21.25" hidden="0" customWidth="1"/>
    <x:col min="11" max="11" width="30" hidden="0" customWidth="1"/>
    <x:col min="12" max="12" width="37.5" hidden="0" customWidth="1"/>
  </x:cols>
  <x:sheetData>
    <x:row r="1" ht="32" customHeight="1">
      <x:c r="A1" s="4" t="str">
        <x:v>Журнал испытаний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48" customHeight="1">
      <x:c r="A2" s="3" t="str">
        <x:v>Заполняйте фактические результаты. Укажите модель, ревизию, точную сборку и версию программы в паспорте прогона. Для каждого теста — отдельная запись.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32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48" customHeight="1">
      <x:c r="A5" s="6" t="str">
        <x:v>Дата / время</x:v>
      </x:c>
      <x:c r="B5" s="6" t="str">
        <x:v>Устройство / псевдоним</x:v>
      </x:c>
      <x:c r="C5" s="6" t="str">
        <x:v>Паспорт: модель, FW, HW, ПО</x:v>
      </x:c>
      <x:c r="D5" s="6" t="str">
        <x:v>Тест ID</x:v>
      </x:c>
      <x:c r="E5" s="6" t="str">
        <x:v>Попыток</x:v>
      </x:c>
      <x:c r="F5" s="6" t="str">
        <x:v>Успешных</x:v>
      </x:c>
      <x:c r="G5" s="6" t="str">
        <x:v>Ошибок</x:v>
      </x:c>
      <x:c r="H5" s="6" t="str">
        <x:v>Доля успеха</x:v>
      </x:c>
      <x:c r="I5" s="6" t="str">
        <x:v>Длительность, с</x:v>
      </x:c>
      <x:c r="J5" s="6" t="str">
        <x:v>Итог</x:v>
      </x:c>
      <x:c r="K5" s="6" t="str">
        <x:v>Файл доказательства</x:v>
      </x:c>
      <x:c r="L5" s="6" t="str">
        <x:v>Исполнитель / замечания</x:v>
      </x:c>
    </x:row>
    <x:row r="6" ht="32" customHeight="1">
      <x:c r="A6" s="3" t="str"/>
      <x:c r="B6" s="3" t="str"/>
      <x:c r="C6" s="3" t="str"/>
      <x:c r="D6" s="3" t="str"/>
      <x:c r="E6" s="3"/>
      <x:c r="F6" s="3"/>
      <x:c r="G6" s="3"/>
      <x:c r="H6" s="8" t="str">
        <x:f>IF(E6&gt;0,F6/E6,"")</x:f>
      </x:c>
      <x:c r="I6" s="3"/>
      <x:c r="J6" s="3" t="str">
        <x:v>Не проверено</x:v>
      </x:c>
      <x:c r="K6" s="3" t="str"/>
      <x:c r="L6" s="3" t="str"/>
    </x:row>
    <x:row r="7" ht="32" customHeight="1">
      <x:c r="A7" s="3" t="str"/>
      <x:c r="B7" s="3" t="str"/>
      <x:c r="C7" s="3" t="str"/>
      <x:c r="D7" s="3" t="str"/>
      <x:c r="E7" s="3"/>
      <x:c r="F7" s="3"/>
      <x:c r="G7" s="3"/>
      <x:c r="H7" s="8" t="str">
        <x:f>IF(E7&gt;0,F7/E7,"")</x:f>
      </x:c>
      <x:c r="I7" s="3"/>
      <x:c r="J7" s="3" t="str">
        <x:v>Не проверено</x:v>
      </x:c>
      <x:c r="K7" s="3" t="str"/>
      <x:c r="L7" s="3" t="str"/>
    </x:row>
    <x:row r="8" ht="32" customHeight="1">
      <x:c r="A8" s="3" t="str"/>
      <x:c r="B8" s="3" t="str"/>
      <x:c r="C8" s="3" t="str"/>
      <x:c r="D8" s="3" t="str"/>
      <x:c r="E8" s="3"/>
      <x:c r="F8" s="3"/>
      <x:c r="G8" s="3"/>
      <x:c r="H8" s="8" t="str">
        <x:f>IF(E8&gt;0,F8/E8,"")</x:f>
      </x:c>
      <x:c r="I8" s="3"/>
      <x:c r="J8" s="3" t="str">
        <x:v>Не проверено</x:v>
      </x:c>
      <x:c r="K8" s="3" t="str"/>
      <x:c r="L8" s="3" t="str"/>
    </x:row>
    <x:row r="9" ht="32" customHeight="1">
      <x:c r="A9" s="3" t="str"/>
      <x:c r="B9" s="3" t="str"/>
      <x:c r="C9" s="3" t="str"/>
      <x:c r="D9" s="3" t="str"/>
      <x:c r="E9" s="3"/>
      <x:c r="F9" s="3"/>
      <x:c r="G9" s="3"/>
      <x:c r="H9" s="8" t="str">
        <x:f>IF(E9&gt;0,F9/E9,"")</x:f>
      </x:c>
      <x:c r="I9" s="3"/>
      <x:c r="J9" s="3" t="str">
        <x:v>Не проверено</x:v>
      </x:c>
      <x:c r="K9" s="3" t="str"/>
      <x:c r="L9" s="3" t="str"/>
    </x:row>
    <x:row r="10" ht="32" customHeight="1">
      <x:c r="A10" s="3" t="str"/>
      <x:c r="B10" s="3" t="str"/>
      <x:c r="C10" s="3" t="str"/>
      <x:c r="D10" s="3" t="str"/>
      <x:c r="E10" s="3"/>
      <x:c r="F10" s="3"/>
      <x:c r="G10" s="3"/>
      <x:c r="H10" s="8" t="str">
        <x:f>IF(E10&gt;0,F10/E10,"")</x:f>
      </x:c>
      <x:c r="I10" s="3"/>
      <x:c r="J10" s="3" t="str">
        <x:v>Не проверено</x:v>
      </x:c>
      <x:c r="K10" s="3" t="str"/>
      <x:c r="L10" s="3" t="str"/>
    </x:row>
    <x:row r="11" ht="32" customHeight="1">
      <x:c r="A11" s="3" t="str"/>
      <x:c r="B11" s="3" t="str"/>
      <x:c r="C11" s="3" t="str"/>
      <x:c r="D11" s="3" t="str"/>
      <x:c r="E11" s="3"/>
      <x:c r="F11" s="3"/>
      <x:c r="G11" s="3"/>
      <x:c r="H11" s="8" t="str">
        <x:f>IF(E11&gt;0,F11/E11,"")</x:f>
      </x:c>
      <x:c r="I11" s="3"/>
      <x:c r="J11" s="3" t="str">
        <x:v>Не проверено</x:v>
      </x:c>
      <x:c r="K11" s="3" t="str"/>
      <x:c r="L11" s="3" t="str"/>
    </x:row>
    <x:row r="12" ht="32" customHeight="1">
      <x:c r="A12" s="3" t="str"/>
      <x:c r="B12" s="3" t="str"/>
      <x:c r="C12" s="3" t="str"/>
      <x:c r="D12" s="3" t="str"/>
      <x:c r="E12" s="3"/>
      <x:c r="F12" s="3"/>
      <x:c r="G12" s="3"/>
      <x:c r="H12" s="8" t="str">
        <x:f>IF(E12&gt;0,F12/E12,"")</x:f>
      </x:c>
      <x:c r="I12" s="3"/>
      <x:c r="J12" s="3" t="str">
        <x:v>Не проверено</x:v>
      </x:c>
      <x:c r="K12" s="3" t="str"/>
      <x:c r="L12" s="3" t="str"/>
    </x:row>
    <x:row r="13" ht="32" customHeight="1">
      <x:c r="A13" s="3" t="str"/>
      <x:c r="B13" s="3" t="str"/>
      <x:c r="C13" s="3" t="str"/>
      <x:c r="D13" s="3" t="str"/>
      <x:c r="E13" s="3"/>
      <x:c r="F13" s="3"/>
      <x:c r="G13" s="3"/>
      <x:c r="H13" s="8" t="str">
        <x:f>IF(E13&gt;0,F13/E13,"")</x:f>
      </x:c>
      <x:c r="I13" s="3"/>
      <x:c r="J13" s="3" t="str">
        <x:v>Не проверено</x:v>
      </x:c>
      <x:c r="K13" s="3" t="str"/>
      <x:c r="L13" s="3" t="str"/>
    </x:row>
    <x:row r="14" ht="32" customHeight="1">
      <x:c r="A14" s="3" t="str"/>
      <x:c r="B14" s="3" t="str"/>
      <x:c r="C14" s="3" t="str"/>
      <x:c r="D14" s="3" t="str"/>
      <x:c r="E14" s="3"/>
      <x:c r="F14" s="3"/>
      <x:c r="G14" s="3"/>
      <x:c r="H14" s="8" t="str">
        <x:f>IF(E14&gt;0,F14/E14,"")</x:f>
      </x:c>
      <x:c r="I14" s="3"/>
      <x:c r="J14" s="3" t="str">
        <x:v>Не проверено</x:v>
      </x:c>
      <x:c r="K14" s="3" t="str"/>
      <x:c r="L14" s="3" t="str"/>
    </x:row>
    <x:row r="15" ht="32" customHeight="1">
      <x:c r="A15" s="3" t="str"/>
      <x:c r="B15" s="3" t="str"/>
      <x:c r="C15" s="3" t="str"/>
      <x:c r="D15" s="3" t="str"/>
      <x:c r="E15" s="3"/>
      <x:c r="F15" s="3"/>
      <x:c r="G15" s="3"/>
      <x:c r="H15" s="8" t="str">
        <x:f>IF(E15&gt;0,F15/E15,"")</x:f>
      </x:c>
      <x:c r="I15" s="3"/>
      <x:c r="J15" s="3" t="str">
        <x:v>Не проверено</x:v>
      </x:c>
      <x:c r="K15" s="3" t="str"/>
      <x:c r="L15" s="3" t="str"/>
    </x:row>
    <x:row r="16" ht="32" customHeight="1">
      <x:c r="A16" s="3" t="str"/>
      <x:c r="B16" s="3" t="str"/>
      <x:c r="C16" s="3" t="str"/>
      <x:c r="D16" s="3" t="str"/>
      <x:c r="E16" s="3"/>
      <x:c r="F16" s="3"/>
      <x:c r="G16" s="3"/>
      <x:c r="H16" s="8" t="str">
        <x:f>IF(E16&gt;0,F16/E16,"")</x:f>
      </x:c>
      <x:c r="I16" s="3"/>
      <x:c r="J16" s="3" t="str">
        <x:v>Не проверено</x:v>
      </x:c>
      <x:c r="K16" s="3" t="str"/>
      <x:c r="L16" s="3" t="str"/>
    </x:row>
    <x:row r="17" ht="32" customHeight="1">
      <x:c r="A17" s="3" t="str"/>
      <x:c r="B17" s="3" t="str"/>
      <x:c r="C17" s="3" t="str"/>
      <x:c r="D17" s="3" t="str"/>
      <x:c r="E17" s="3"/>
      <x:c r="F17" s="3"/>
      <x:c r="G17" s="3"/>
      <x:c r="H17" s="8" t="str">
        <x:f>IF(E17&gt;0,F17/E17,"")</x:f>
      </x:c>
      <x:c r="I17" s="3"/>
      <x:c r="J17" s="3" t="str">
        <x:v>Не проверено</x:v>
      </x:c>
      <x:c r="K17" s="3" t="str"/>
      <x:c r="L17" s="3" t="str"/>
    </x:row>
    <x:row r="18" ht="32" customHeight="1">
      <x:c r="A18" s="3" t="str"/>
      <x:c r="B18" s="3" t="str"/>
      <x:c r="C18" s="3" t="str"/>
      <x:c r="D18" s="3" t="str"/>
      <x:c r="E18" s="3"/>
      <x:c r="F18" s="3"/>
      <x:c r="G18" s="3"/>
      <x:c r="H18" s="8" t="str">
        <x:f>IF(E18&gt;0,F18/E18,"")</x:f>
      </x:c>
      <x:c r="I18" s="3"/>
      <x:c r="J18" s="3" t="str">
        <x:v>Не проверено</x:v>
      </x:c>
      <x:c r="K18" s="3" t="str"/>
      <x:c r="L18" s="3" t="str"/>
    </x:row>
    <x:row r="19" ht="32" customHeight="1">
      <x:c r="A19" s="3" t="str"/>
      <x:c r="B19" s="3" t="str"/>
      <x:c r="C19" s="3" t="str"/>
      <x:c r="D19" s="3" t="str"/>
      <x:c r="E19" s="3"/>
      <x:c r="F19" s="3"/>
      <x:c r="G19" s="3"/>
      <x:c r="H19" s="8" t="str">
        <x:f>IF(E19&gt;0,F19/E19,"")</x:f>
      </x:c>
      <x:c r="I19" s="3"/>
      <x:c r="J19" s="3" t="str">
        <x:v>Не проверено</x:v>
      </x:c>
      <x:c r="K19" s="3" t="str"/>
      <x:c r="L19" s="3" t="str"/>
    </x:row>
    <x:row r="20" ht="32" customHeight="1">
      <x:c r="A20" s="3" t="str"/>
      <x:c r="B20" s="3" t="str"/>
      <x:c r="C20" s="3" t="str"/>
      <x:c r="D20" s="3" t="str"/>
      <x:c r="E20" s="3"/>
      <x:c r="F20" s="3"/>
      <x:c r="G20" s="3"/>
      <x:c r="H20" s="8" t="str">
        <x:f>IF(E20&gt;0,F20/E20,"")</x:f>
      </x:c>
      <x:c r="I20" s="3"/>
      <x:c r="J20" s="3" t="str">
        <x:v>Не проверено</x:v>
      </x:c>
      <x:c r="K20" s="3" t="str"/>
      <x:c r="L20" s="3" t="str"/>
    </x:row>
    <x:row r="21" ht="32" customHeight="1">
      <x:c r="A21" s="3" t="str"/>
      <x:c r="B21" s="3" t="str"/>
      <x:c r="C21" s="3" t="str"/>
      <x:c r="D21" s="3" t="str"/>
      <x:c r="E21" s="3"/>
      <x:c r="F21" s="3"/>
      <x:c r="G21" s="3"/>
      <x:c r="H21" s="8" t="str">
        <x:f>IF(E21&gt;0,F21/E21,"")</x:f>
      </x:c>
      <x:c r="I21" s="3"/>
      <x:c r="J21" s="3" t="str">
        <x:v>Не проверено</x:v>
      </x:c>
      <x:c r="K21" s="3" t="str"/>
      <x:c r="L21" s="3" t="str"/>
    </x:row>
    <x:row r="22" ht="32" customHeight="1">
      <x:c r="A22" s="3" t="str"/>
      <x:c r="B22" s="3" t="str"/>
      <x:c r="C22" s="3" t="str"/>
      <x:c r="D22" s="3" t="str"/>
      <x:c r="E22" s="3"/>
      <x:c r="F22" s="3"/>
      <x:c r="G22" s="3"/>
      <x:c r="H22" s="8" t="str">
        <x:f>IF(E22&gt;0,F22/E22,"")</x:f>
      </x:c>
      <x:c r="I22" s="3"/>
      <x:c r="J22" s="3" t="str">
        <x:v>Не проверено</x:v>
      </x:c>
      <x:c r="K22" s="3" t="str"/>
      <x:c r="L22" s="3" t="str"/>
    </x:row>
    <x:row r="23" ht="32" customHeight="1">
      <x:c r="A23" s="3" t="str"/>
      <x:c r="B23" s="3" t="str"/>
      <x:c r="C23" s="3" t="str"/>
      <x:c r="D23" s="3" t="str"/>
      <x:c r="E23" s="3"/>
      <x:c r="F23" s="3"/>
      <x:c r="G23" s="3"/>
      <x:c r="H23" s="8" t="str">
        <x:f>IF(E23&gt;0,F23/E23,"")</x:f>
      </x:c>
      <x:c r="I23" s="3"/>
      <x:c r="J23" s="3" t="str">
        <x:v>Не проверено</x:v>
      </x:c>
      <x:c r="K23" s="3" t="str"/>
      <x:c r="L23" s="3" t="str"/>
    </x:row>
    <x:row r="24" ht="32" customHeight="1">
      <x:c r="A24" s="3" t="str"/>
      <x:c r="B24" s="3" t="str"/>
      <x:c r="C24" s="3" t="str"/>
      <x:c r="D24" s="3" t="str"/>
      <x:c r="E24" s="3"/>
      <x:c r="F24" s="3"/>
      <x:c r="G24" s="3"/>
      <x:c r="H24" s="8" t="str">
        <x:f>IF(E24&gt;0,F24/E24,"")</x:f>
      </x:c>
      <x:c r="I24" s="3"/>
      <x:c r="J24" s="3" t="str">
        <x:v>Не проверено</x:v>
      </x:c>
      <x:c r="K24" s="3" t="str"/>
      <x:c r="L24" s="3" t="str"/>
    </x:row>
    <x:row r="25" ht="32" customHeight="1">
      <x:c r="A25" s="3" t="str"/>
      <x:c r="B25" s="3" t="str"/>
      <x:c r="C25" s="3" t="str"/>
      <x:c r="D25" s="3" t="str"/>
      <x:c r="E25" s="3"/>
      <x:c r="F25" s="3"/>
      <x:c r="G25" s="3"/>
      <x:c r="H25" s="8" t="str">
        <x:f>IF(E25&gt;0,F25/E25,"")</x:f>
      </x:c>
      <x:c r="I25" s="3"/>
      <x:c r="J25" s="3" t="str">
        <x:v>Не проверено</x:v>
      </x:c>
      <x:c r="K25" s="3" t="str"/>
      <x:c r="L25" s="3" t="str"/>
    </x:row>
    <x:row r="26" ht="32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</x:row>
  </x:sheetData>
  <x:mergeCells>
    <x:mergeCell ref="A1:F1"/>
    <x:mergeCell ref="A2:F2"/>
  </x:mergeCells>
  <x:conditionalFormatting sqref="J6:J25">
    <x:cfRule type="containsText" dxfId="4" priority="1" operator="containsText" text="✓ Пройден"/>
    <x:cfRule type="containsText" dxfId="5" priority="2" operator="containsText" text="✗ Ошибка"/>
    <x:cfRule type="containsText" dxfId="6" priority="3" operator="containsText" text="Не проверено"/>
    <x:cfRule type="containsText" dxfId="7" priority="4" operator="containsText" text="Не поддерживается"/>
  </x:conditionalFormatting>
  <x:dataValidations count="2">
    <x:dataValidation type="list" sqref="J6:J25">
      <x:formula1>"Не проверено,✓ Пройден,✗ Ошибка,Не поддерживается"</x:formula1>
    </x:dataValidation>
    <x:dataValidation type="list" sqref="D6:D25">
      <x:formula1>"T01,T02,T03,T04,T05,T06,T07,T08,T09,S01,S02,S03,S04,S05,X01,X02"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7cb823a60b4444"/>
  </x:tableParts>
</x:worksheet>
</file>