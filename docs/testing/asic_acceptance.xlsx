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Матрица" sheetId="1" state="visible" r:id="rId1"/>
    <sheet name="Сценарии" sheetId="2" state="visible" r:id="rId2"/>
    <sheet name="Журнал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rlito"/>
      <sz val="11"/>
    </font>
    <font>
      <name val="Arial"/>
      <sz val="10"/>
    </font>
    <font>
      <name val="Arial"/>
      <b val="1"/>
      <color rgb="FF17324D"/>
      <sz val="16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FFF8E8"/>
      </patternFill>
    </fill>
  </fills>
  <borders count="1">
    <border/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/>
  </cellStyles>
  <dxfs count="8">
    <dxf>
      <font>
        <color rgb="FF176A41"/>
      </font>
      <fill>
        <patternFill patternType="solid">
          <bgColor rgb="FFE3F3EA"/>
        </patternFill>
      </fill>
    </dxf>
    <dxf>
      <font>
        <color rgb="FFA62927"/>
      </font>
      <fill>
        <patternFill patternType="solid">
          <bgColor rgb="FFFCE9E7"/>
        </patternFill>
      </fill>
    </dxf>
    <dxf>
      <font>
        <color rgb="FF805B17"/>
      </font>
      <fill>
        <patternFill patternType="solid">
          <bgColor rgb="FFFFF3D9"/>
        </patternFill>
      </fill>
    </dxf>
    <dxf>
      <font>
        <color rgb="FF5D6572"/>
      </font>
      <fill>
        <patternFill patternType="solid">
          <bgColor rgb="FFECEFF3"/>
        </patternFill>
      </fill>
    </dxf>
    <dxf>
      <font>
        <color rgb="FF176A41"/>
      </font>
      <fill>
        <patternFill patternType="solid">
          <bgColor rgb="FFE3F3EA"/>
        </patternFill>
      </fill>
    </dxf>
    <dxf>
      <font>
        <color rgb="FFA62927"/>
      </font>
      <fill>
        <patternFill patternType="solid">
          <bgColor rgb="FFFCE9E7"/>
        </patternFill>
      </fill>
    </dxf>
    <dxf>
      <font>
        <color rgb="FF805B17"/>
      </font>
      <fill>
        <patternFill patternType="solid">
          <bgColor rgb="FFFFF3D9"/>
        </patternFill>
      </fill>
    </dxf>
    <dxf>
      <font>
        <color rgb="FF5D6572"/>
      </font>
      <fill>
        <patternFill patternType="solid">
          <bgColor rgb="FFECEFF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ASIC Monitor</author>
  </authors>
  <commentList>
    <comment ref="F12" authorId="0" shapeId="0">
      <text>
        <t>API check passed (find_miner bool). Physical visual confirmation pending.</t>
      </text>
    </comment>
    <comment ref="G12" authorId="0" shapeId="0">
      <text>
        <t>API check passed (find_miner bool). Physical visual confirmation pending.</t>
      </text>
    </comment>
    <comment ref="H12" authorId="0" shapeId="0">
      <text>
        <t>Reboot after=3; system uptime reset from 37 days to 0:00; mining recovered at 6.50 -&gt; 11.54 GH/s. Settings hash unchanged.</t>
      </text>
    </comment>
    <comment ref="I12" authorId="0" shapeId="0">
      <text>
        <t>stopped, 0 MH/s; scanner Sleep / 0.00 GH/s.</t>
      </text>
    </comment>
    <comment ref="J12" authorId="0" shapeId="0">
      <text>
        <t>initializing -&gt; mining; positive hashrate after ~95 seconds, later 17.12 GH/s. Command response was unconfirmed until subsequent observations.</t>
      </text>
    </comment>
    <comment ref="F16" authorId="0" shapeId="0">
      <text>
        <t>Physical blinking confirmed by operator; API blink=true. Fixed false M000 rejection in scanner.</t>
      </text>
    </comment>
    <comment ref="I16" authorId="0" shapeId="0">
      <text>
        <t>Device sleep confirmed: mode=-1000, four boards at zero hashrate. HTTP response timed out; command journal is unconfirmed. See acceptance report.</t>
      </text>
    </comment>
    <comment ref="J16" authorId="0" shapeId="0">
      <text>
        <t>Mode=0; accepted shares increased 143 to 179; scanner then reported Running / 8.98 GH/s ~9.5 minutes after wake. Command response timed out; see detailed report.</t>
      </text>
    </comment>
    <comment ref="F21" authorId="0" shapeId="0">
      <text>
        <t>01.10.2026: команда и обратное чтение API подтверждены. По указанию пользователя разгон, конечная мощность и хешрейт не проверялись. Для LED визуальное наблюдение не выполнялось.</t>
      </text>
    </comment>
    <comment ref="G21" authorId="0" shapeId="0">
      <text>
        <t>01.10.2026: команда и обратное чтение API подтверждены. По указанию пользователя разгон, конечная мощность и хешрейт не проверялись. Для LED визуальное наблюдение не выполнялось.</t>
      </text>
    </comment>
    <comment ref="H21" authorId="0" shapeId="0">
      <text>
        <t>01.10.2026: команда и обратное чтение API подтверждены. По указанию пользователя разгон, конечная мощность и хешрейт не проверялись. Для LED визуальное наблюдение не выполнялось.</t>
      </text>
    </comment>
    <comment ref="I21" authorId="0" shapeId="0">
      <text>
        <t>01.10.2026: команда и обратное чтение API подтверждены. По указанию пользователя разгон, конечная мощность и хешрейт не проверялись. Для LED визуальное наблюдение не выполнялось.</t>
      </text>
    </comment>
    <comment ref="J21" authorId="0" shapeId="0">
      <text>
        <t>01.10.2026: команда и обратное чтение API подтверждены. По указанию пользователя разгон, конечная мощность и хешрейт не проверялись. Для LED визуальное наблюдение не выполнялось.</t>
      </text>
    </comment>
    <comment ref="K21" authorId="0" shapeId="0">
      <text>
        <t>Веб-интерфейс этой сборки T21: Normal, Sleep, HEM; LowPower отсутствует.</t>
      </text>
    </comment>
    <comment ref="L21" authorId="0" shapeId="0">
      <text>
        <t>01.10.2026: команда и обратное чтение API подтверждены. По указанию пользователя разгон, конечная мощность и хешрейт не проверялись. Для LED визуальное наблюдение не выполнялось.</t>
      </text>
    </comment>
    <comment ref="M21" authorId="0" shapeId="0">
      <text>
        <t>01.10.2026: команда и обратное чтение API подтверждены. По указанию пользователя разгон, конечная мощность и хешрейт не проверялись. Для LED визуальное наблюдение не выполнялось.</t>
      </text>
    </comment>
  </commentList>
</comments>
</file>

<file path=xl/tables/table1.xml><?xml version="1.0" encoding="utf-8"?>
<table xmlns="http://schemas.openxmlformats.org/spreadsheetml/2006/main" id="1" name="AcceptanceMatrix" displayName="AcceptanceMatrix" ref="A5:T21" headerRowCount="1" totalsRowCount="0" totalsRowShown="0">
  <tableColumns count="20">
    <tableColumn id="1" name="Модель"/>
    <tableColumn id="2" name="Семейство прошивки"/>
    <tableColumn id="3" name="Точная версия / сборка"/>
    <tableColumn id="4" name="Ревизия / версия ПО"/>
    <tableColumn id="5" name="T01 Чтение"/>
    <tableColumn id="6" name="T02 LED вкл."/>
    <tableColumn id="7" name="T03 LED выкл."/>
    <tableColumn id="8" name="T04 Перезагрузка"/>
    <tableColumn id="9" name="T05 Сон"/>
    <tableColumn id="10" name="T06 Возобновить"/>
    <tableColumn id="11" name="T07 Low"/>
    <tableColumn id="12" name="T08 Normal"/>
    <tableColumn id="13" name="T09 HEM"/>
    <tableColumn id="14" name="S01 Опрос 1 ч"/>
    <tableColumn id="15" name="S02 Опрос 24 ч"/>
    <tableColumn id="16" name="S03 Обрыв связи"/>
    <tableColumn id="17" name="S04 Параллельность"/>
    <tableColumn id="18" name="S05 Отмена"/>
    <tableColumn id="19" name="Пройдено тестов"/>
    <tableColumn id="20" name="Журнал / замечани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enarios" displayName="Scenarios" ref="A5:F21" headerRowCount="1" totalsRowCount="0" totalsRowShown="0">
  <tableColumns count="6">
    <tableColumn id="1" name="ID"/>
    <tableColumn id="2" name="Проверка"/>
    <tableColumn id="3" name="Действия"/>
    <tableColumn id="4" name="Критерий успеха"/>
    <tableColumn id="5" name="Объём"/>
    <tableColumn id="6" name="Доказательство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stLog" displayName="TestLog" ref="A5:L25" headerRowCount="1" totalsRowCount="0" totalsRowShown="0">
  <tableColumns count="12">
    <tableColumn id="1" name="Дата / время"/>
    <tableColumn id="2" name="Устройство / псевдоним"/>
    <tableColumn id="3" name="Паспорт: модель, FW, HW, ПО"/>
    <tableColumn id="4" name="Тест ID"/>
    <tableColumn id="5" name="Попыток"/>
    <tableColumn id="6" name="Успешных"/>
    <tableColumn id="7" name="Ошибок"/>
    <tableColumn id="8" name="Доля успеха"/>
    <tableColumn id="9" name="Длительность, с"/>
    <tableColumn id="10" name="Итог"/>
    <tableColumn id="11" name="Файл доказательства"/>
    <tableColumn id="12" name="Исполнитель / замеча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xSplit="4" ySplit="5" topLeftCell="E6" activePane="bottomRight" state="frozen"/>
      <selection activeCell="A1" sqref="A1"/>
    </sheetView>
  </sheetViews>
  <sheetFormatPr baseColWidth="8" defaultRowHeight="15"/>
  <cols>
    <col width="23.1299991607666" customWidth="1" min="1" max="1"/>
    <col width="15" customWidth="1" min="2" max="2"/>
    <col width="20" customWidth="1" min="3" max="3"/>
    <col width="17.5" customWidth="1" min="4" max="4"/>
    <col width="15.63000011444092" customWidth="1" min="5" max="5"/>
    <col width="15.63000011444092" customWidth="1" min="6" max="6"/>
    <col width="15.63000011444092" customWidth="1" min="7" max="7"/>
    <col width="15.63000011444092" customWidth="1" min="8" max="8"/>
    <col width="15.63000011444092" customWidth="1" min="9" max="9"/>
    <col width="15.63000011444092" customWidth="1" min="10" max="10"/>
    <col width="15.63000011444092" customWidth="1" min="11" max="11"/>
    <col width="15.63000011444092" customWidth="1" min="12" max="12"/>
    <col width="15.63000011444092" customWidth="1" min="13" max="13"/>
    <col width="15.63000011444092" customWidth="1" min="14" max="14"/>
    <col width="15.63000011444092" customWidth="1" min="15" max="15"/>
    <col width="15.63000011444092" customWidth="1" min="16" max="16"/>
    <col width="15.63000011444092" customWidth="1" min="17" max="17"/>
    <col width="15.63000011444092" customWidth="1" min="18" max="18"/>
    <col width="15.63000011444092" customWidth="1" min="19" max="19"/>
    <col width="30" customWidth="1" min="20" max="20"/>
  </cols>
  <sheetData>
    <row r="1" ht="32" customHeight="1">
      <c r="A1" s="4" t="inlineStr">
        <is>
          <t>ASIC Monitor · Матрица приёмки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 ht="48" customHeight="1">
      <c r="A2" s="3" t="inlineStr">
        <is>
          <t>Заготовки, не подтверждённая совместимость. Каждая точная модель + ревизия + прошивка — отдельная строка. Начните с паспорта на листе «Журнал».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32" customHeight="1">
      <c r="A3" s="3" t="inlineStr">
        <is>
          <t>Всего выполненных проверок →</t>
        </is>
      </c>
      <c r="E3" s="3">
        <f>COUNTIF(E6:R21,"✓ Пройден")+COUNTIF(E6:R21,"✗ Ошибка")</f>
        <v/>
      </c>
      <c r="F3" s="3" t="n"/>
      <c r="G3" s="3" t="inlineStr">
        <is>
          <t>Нет поддержки — укажите основание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3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 ht="48" customHeight="1">
      <c r="A5" s="6" t="inlineStr">
        <is>
          <t>Модель</t>
        </is>
      </c>
      <c r="B5" s="6" t="inlineStr">
        <is>
          <t>Семейство прошивки</t>
        </is>
      </c>
      <c r="C5" s="6" t="inlineStr">
        <is>
          <t>Точная версия / сборка</t>
        </is>
      </c>
      <c r="D5" s="6" t="inlineStr">
        <is>
          <t>Ревизия / версия ПО</t>
        </is>
      </c>
      <c r="E5" s="6" t="inlineStr">
        <is>
          <t>T01 Чтение</t>
        </is>
      </c>
      <c r="F5" s="6" t="inlineStr">
        <is>
          <t>T02 LED вкл.</t>
        </is>
      </c>
      <c r="G5" s="6" t="inlineStr">
        <is>
          <t>T03 LED выкл.</t>
        </is>
      </c>
      <c r="H5" s="6" t="inlineStr">
        <is>
          <t>T04 Перезагрузка</t>
        </is>
      </c>
      <c r="I5" s="6" t="inlineStr">
        <is>
          <t>T05 Сон</t>
        </is>
      </c>
      <c r="J5" s="6" t="inlineStr">
        <is>
          <t>T06 Возобновить</t>
        </is>
      </c>
      <c r="K5" s="6" t="inlineStr">
        <is>
          <t>T07 Low</t>
        </is>
      </c>
      <c r="L5" s="6" t="inlineStr">
        <is>
          <t>T08 Normal</t>
        </is>
      </c>
      <c r="M5" s="6" t="inlineStr">
        <is>
          <t>T09 HEM</t>
        </is>
      </c>
      <c r="N5" s="6" t="inlineStr">
        <is>
          <t>S01 Опрос 1 ч</t>
        </is>
      </c>
      <c r="O5" s="6" t="inlineStr">
        <is>
          <t>S02 Опрос 24 ч</t>
        </is>
      </c>
      <c r="P5" s="6" t="inlineStr">
        <is>
          <t>S03 Обрыв связи</t>
        </is>
      </c>
      <c r="Q5" s="6" t="inlineStr">
        <is>
          <t>S04 Параллельность</t>
        </is>
      </c>
      <c r="R5" s="6" t="inlineStr">
        <is>
          <t>S05 Отмена</t>
        </is>
      </c>
      <c r="S5" s="6" t="inlineStr">
        <is>
          <t>Пройдено тестов</t>
        </is>
      </c>
      <c r="T5" s="6" t="inlineStr">
        <is>
          <t>Журнал / замечания</t>
        </is>
      </c>
    </row>
    <row r="6" ht="32" customHeight="1">
      <c r="A6" s="3" t="inlineStr">
        <is>
          <t>Antminer Z15</t>
        </is>
      </c>
      <c r="B6" s="3" t="inlineStr">
        <is>
          <t>Stock</t>
        </is>
      </c>
      <c r="C6" s="7" t="inlineStr">
        <is>
          <t>Заполнить</t>
        </is>
      </c>
      <c r="D6" s="7" t="inlineStr">
        <is>
          <t>Заполнить</t>
        </is>
      </c>
      <c r="E6" s="3" t="inlineStr">
        <is>
          <t>Не проверено</t>
        </is>
      </c>
      <c r="F6" s="3" t="inlineStr">
        <is>
          <t>Не проверено</t>
        </is>
      </c>
      <c r="G6" s="3" t="inlineStr">
        <is>
          <t>Не проверено</t>
        </is>
      </c>
      <c r="H6" s="3" t="inlineStr">
        <is>
          <t>Не проверено</t>
        </is>
      </c>
      <c r="I6" s="3" t="inlineStr">
        <is>
          <t>Не проверено</t>
        </is>
      </c>
      <c r="J6" s="3" t="inlineStr">
        <is>
          <t>Не проверено</t>
        </is>
      </c>
      <c r="K6" s="3" t="inlineStr">
        <is>
          <t>Не проверено</t>
        </is>
      </c>
      <c r="L6" s="3" t="inlineStr">
        <is>
          <t>Не проверено</t>
        </is>
      </c>
      <c r="M6" s="3" t="inlineStr">
        <is>
          <t>Не проверено</t>
        </is>
      </c>
      <c r="N6" s="3" t="inlineStr">
        <is>
          <t>Не проверено</t>
        </is>
      </c>
      <c r="O6" s="3" t="inlineStr">
        <is>
          <t>Не проверено</t>
        </is>
      </c>
      <c r="P6" s="3" t="inlineStr">
        <is>
          <t>Не проверено</t>
        </is>
      </c>
      <c r="Q6" s="3" t="inlineStr">
        <is>
          <t>Не проверено</t>
        </is>
      </c>
      <c r="R6" s="3" t="inlineStr">
        <is>
          <t>Не проверено</t>
        </is>
      </c>
      <c r="S6" s="3">
        <f>COUNTIF(E6:R6,"✓ Пройден")</f>
        <v/>
      </c>
      <c r="T6" s="3" t="str"/>
    </row>
    <row r="7" ht="32" customHeight="1">
      <c r="A7" s="3" t="inlineStr">
        <is>
          <t>Antminer S19</t>
        </is>
      </c>
      <c r="B7" s="3" t="inlineStr">
        <is>
          <t>Stock</t>
        </is>
      </c>
      <c r="C7" s="7" t="inlineStr">
        <is>
          <t>Tue Dec 6 16:10:00 CST 2022</t>
        </is>
      </c>
      <c r="D7" s="7" t="inlineStr">
        <is>
          <t>ASIC Monitor 2.0.3 (source 2026-09-28); API 3.1 / Miner 49.0.1.3</t>
        </is>
      </c>
      <c r="E7" s="3" t="inlineStr">
        <is>
          <t>Не проверено</t>
        </is>
      </c>
      <c r="F7" s="3" t="inlineStr">
        <is>
          <t>Не проверено</t>
        </is>
      </c>
      <c r="G7" s="3" t="inlineStr">
        <is>
          <t>Не проверено</t>
        </is>
      </c>
      <c r="H7" s="3" t="inlineStr">
        <is>
          <t>✓ Пройден</t>
        </is>
      </c>
      <c r="I7" s="3" t="inlineStr">
        <is>
          <t>Не проверено</t>
        </is>
      </c>
      <c r="J7" s="3" t="inlineStr">
        <is>
          <t>Не проверено</t>
        </is>
      </c>
      <c r="K7" s="3" t="inlineStr">
        <is>
          <t>Не проверено</t>
        </is>
      </c>
      <c r="L7" s="3" t="inlineStr">
        <is>
          <t>Не проверено</t>
        </is>
      </c>
      <c r="M7" s="3" t="inlineStr">
        <is>
          <t>Не проверено</t>
        </is>
      </c>
      <c r="N7" s="3" t="inlineStr">
        <is>
          <t>Не проверено</t>
        </is>
      </c>
      <c r="O7" s="3" t="inlineStr">
        <is>
          <t>Не проверено</t>
        </is>
      </c>
      <c r="P7" s="3" t="inlineStr">
        <is>
          <t>Не проверено</t>
        </is>
      </c>
      <c r="Q7" s="3" t="inlineStr">
        <is>
          <t>Не проверено</t>
        </is>
      </c>
      <c r="R7" s="3" t="inlineStr">
        <is>
          <t>Не проверено</t>
        </is>
      </c>
      <c r="S7" s="3">
        <f>COUNTIF(E7:R7,"✓ Пройден")</f>
        <v/>
      </c>
      <c r="T7" s="3" t="inlineStr">
        <is>
          <t>2026-09-28: reboot 10.33.215.19; uptime 163508 -&gt; 1 s. docs/testing/antminer-s19-2026-09-28.md</t>
        </is>
      </c>
    </row>
    <row r="8" ht="32" customHeight="1">
      <c r="A8" s="3" t="inlineStr">
        <is>
          <t>Antminer S21</t>
        </is>
      </c>
      <c r="B8" s="3" t="inlineStr">
        <is>
          <t>Stock</t>
        </is>
      </c>
      <c r="C8" s="7" t="inlineStr">
        <is>
          <t>Заполнить</t>
        </is>
      </c>
      <c r="D8" s="7" t="inlineStr">
        <is>
          <t>Заполнить</t>
        </is>
      </c>
      <c r="E8" s="3" t="inlineStr">
        <is>
          <t>Не проверено</t>
        </is>
      </c>
      <c r="F8" s="3" t="inlineStr">
        <is>
          <t>Не проверено</t>
        </is>
      </c>
      <c r="G8" s="3" t="inlineStr">
        <is>
          <t>Не проверено</t>
        </is>
      </c>
      <c r="H8" s="3" t="inlineStr">
        <is>
          <t>Не проверено</t>
        </is>
      </c>
      <c r="I8" s="3" t="inlineStr">
        <is>
          <t>Не проверено</t>
        </is>
      </c>
      <c r="J8" s="3" t="inlineStr">
        <is>
          <t>Не проверено</t>
        </is>
      </c>
      <c r="K8" s="3" t="inlineStr">
        <is>
          <t>Не проверено</t>
        </is>
      </c>
      <c r="L8" s="3" t="inlineStr">
        <is>
          <t>Не проверено</t>
        </is>
      </c>
      <c r="M8" s="3" t="inlineStr">
        <is>
          <t>Не проверено</t>
        </is>
      </c>
      <c r="N8" s="3" t="inlineStr">
        <is>
          <t>Не проверено</t>
        </is>
      </c>
      <c r="O8" s="3" t="inlineStr">
        <is>
          <t>Не проверено</t>
        </is>
      </c>
      <c r="P8" s="3" t="inlineStr">
        <is>
          <t>Не проверено</t>
        </is>
      </c>
      <c r="Q8" s="3" t="inlineStr">
        <is>
          <t>Не проверено</t>
        </is>
      </c>
      <c r="R8" s="3" t="inlineStr">
        <is>
          <t>Не проверено</t>
        </is>
      </c>
      <c r="S8" s="3">
        <f>COUNTIF(E8:R8,"✓ Пройден")</f>
        <v/>
      </c>
      <c r="T8" s="3" t="str"/>
    </row>
    <row r="9" ht="32" customHeight="1">
      <c r="A9" s="3" t="inlineStr">
        <is>
          <t>Antminer D9</t>
        </is>
      </c>
      <c r="B9" s="3" t="inlineStr">
        <is>
          <t>Stock</t>
        </is>
      </c>
      <c r="C9" s="7" t="inlineStr">
        <is>
          <t>Заполнить</t>
        </is>
      </c>
      <c r="D9" s="7" t="inlineStr">
        <is>
          <t>Заполнить</t>
        </is>
      </c>
      <c r="E9" s="3" t="inlineStr">
        <is>
          <t>Не проверено</t>
        </is>
      </c>
      <c r="F9" s="3" t="inlineStr">
        <is>
          <t>Не проверено</t>
        </is>
      </c>
      <c r="G9" s="3" t="inlineStr">
        <is>
          <t>Не проверено</t>
        </is>
      </c>
      <c r="H9" s="3" t="inlineStr">
        <is>
          <t>Не проверено</t>
        </is>
      </c>
      <c r="I9" s="3" t="inlineStr">
        <is>
          <t>Не проверено</t>
        </is>
      </c>
      <c r="J9" s="3" t="inlineStr">
        <is>
          <t>Не проверено</t>
        </is>
      </c>
      <c r="K9" s="3" t="inlineStr">
        <is>
          <t>Не проверено</t>
        </is>
      </c>
      <c r="L9" s="3" t="inlineStr">
        <is>
          <t>Не проверено</t>
        </is>
      </c>
      <c r="M9" s="3" t="inlineStr">
        <is>
          <t>Не проверено</t>
        </is>
      </c>
      <c r="N9" s="3" t="inlineStr">
        <is>
          <t>Не проверено</t>
        </is>
      </c>
      <c r="O9" s="3" t="inlineStr">
        <is>
          <t>Не проверено</t>
        </is>
      </c>
      <c r="P9" s="3" t="inlineStr">
        <is>
          <t>Не проверено</t>
        </is>
      </c>
      <c r="Q9" s="3" t="inlineStr">
        <is>
          <t>Не проверено</t>
        </is>
      </c>
      <c r="R9" s="3" t="inlineStr">
        <is>
          <t>Не проверено</t>
        </is>
      </c>
      <c r="S9" s="3">
        <f>COUNTIF(E9:R9,"✓ Пройден")</f>
        <v/>
      </c>
      <c r="T9" s="3" t="str"/>
    </row>
    <row r="10" ht="32" customHeight="1">
      <c r="A10" s="3" t="inlineStr">
        <is>
          <t>Antminer L7</t>
        </is>
      </c>
      <c r="B10" s="3" t="inlineStr">
        <is>
          <t>Stock</t>
        </is>
      </c>
      <c r="C10" s="7" t="inlineStr">
        <is>
          <t>Заполнить</t>
        </is>
      </c>
      <c r="D10" s="7" t="inlineStr">
        <is>
          <t>Заполнить</t>
        </is>
      </c>
      <c r="E10" s="3" t="inlineStr">
        <is>
          <t>Не проверено</t>
        </is>
      </c>
      <c r="F10" s="3" t="inlineStr">
        <is>
          <t>Не проверено</t>
        </is>
      </c>
      <c r="G10" s="3" t="inlineStr">
        <is>
          <t>Не проверено</t>
        </is>
      </c>
      <c r="H10" s="3" t="inlineStr">
        <is>
          <t>Не проверено</t>
        </is>
      </c>
      <c r="I10" s="3" t="inlineStr">
        <is>
          <t>Не проверено</t>
        </is>
      </c>
      <c r="J10" s="3" t="inlineStr">
        <is>
          <t>Не проверено</t>
        </is>
      </c>
      <c r="K10" s="3" t="inlineStr">
        <is>
          <t>Не проверено</t>
        </is>
      </c>
      <c r="L10" s="3" t="inlineStr">
        <is>
          <t>Не проверено</t>
        </is>
      </c>
      <c r="M10" s="3" t="inlineStr">
        <is>
          <t>Не проверено</t>
        </is>
      </c>
      <c r="N10" s="3" t="inlineStr">
        <is>
          <t>Не проверено</t>
        </is>
      </c>
      <c r="O10" s="3" t="inlineStr">
        <is>
          <t>Не проверено</t>
        </is>
      </c>
      <c r="P10" s="3" t="inlineStr">
        <is>
          <t>Не проверено</t>
        </is>
      </c>
      <c r="Q10" s="3" t="inlineStr">
        <is>
          <t>Не проверено</t>
        </is>
      </c>
      <c r="R10" s="3" t="inlineStr">
        <is>
          <t>Не проверено</t>
        </is>
      </c>
      <c r="S10" s="3">
        <f>COUNTIF(E10:R10,"✓ Пройден")</f>
        <v/>
      </c>
      <c r="T10" s="3" t="str"/>
    </row>
    <row r="11" ht="32" customHeight="1">
      <c r="A11" s="3" t="inlineStr">
        <is>
          <t>Antminer L9</t>
        </is>
      </c>
      <c r="B11" s="3" t="inlineStr">
        <is>
          <t>Stock</t>
        </is>
      </c>
      <c r="C11" s="7" t="inlineStr">
        <is>
          <t>Mon Feb 10 10:01:06 CST 2025</t>
        </is>
      </c>
      <c r="D11" s="7" t="inlineStr">
        <is>
          <t>ASIC Monitor 2.0.3 source 2026-09-28; API 3.1 / Miner 86.48-2.0.0</t>
        </is>
      </c>
      <c r="E11" s="3" t="inlineStr">
        <is>
          <t>Не проверено</t>
        </is>
      </c>
      <c r="F11" s="3" t="inlineStr">
        <is>
          <t>Не проверено</t>
        </is>
      </c>
      <c r="G11" s="3" t="inlineStr">
        <is>
          <t>Не проверено</t>
        </is>
      </c>
      <c r="H11" s="3" t="inlineStr">
        <is>
          <t>Не проверено</t>
        </is>
      </c>
      <c r="I11" s="3" t="inlineStr">
        <is>
          <t>Не проверено</t>
        </is>
      </c>
      <c r="J11" s="3" t="inlineStr">
        <is>
          <t>Не проверено</t>
        </is>
      </c>
      <c r="K11" s="3" t="inlineStr">
        <is>
          <t>Не проверено</t>
        </is>
      </c>
      <c r="L11" s="3" t="inlineStr">
        <is>
          <t>Не проверено</t>
        </is>
      </c>
      <c r="M11" s="3" t="inlineStr">
        <is>
          <t>Не проверено</t>
        </is>
      </c>
      <c r="N11" s="3" t="inlineStr">
        <is>
          <t>Не проверено</t>
        </is>
      </c>
      <c r="O11" s="3" t="inlineStr">
        <is>
          <t>Не проверено</t>
        </is>
      </c>
      <c r="P11" s="3" t="inlineStr">
        <is>
          <t>Не проверено</t>
        </is>
      </c>
      <c r="Q11" s="3" t="inlineStr">
        <is>
          <t>Не проверено</t>
        </is>
      </c>
      <c r="R11" s="3" t="inlineStr">
        <is>
          <t>Не проверено</t>
        </is>
      </c>
      <c r="S11" s="3">
        <f>COUNTIF(E11:R11,"✓ Пройден")</f>
        <v/>
      </c>
      <c r="T11" s="3" t="inlineStr">
        <is>
          <t>2026-09-28: wake command changed mode 1 -&gt; 0; initial telemetry 0 GH/s, mining recovery pending. docs/testing/antminer-l9-stock-2026-09-28.md LED on/off 10.33.222.11: API confirmed true/false; B000/B100. Final LED off; visual confirmation pending.</t>
        </is>
      </c>
    </row>
    <row r="12" ht="32" customHeight="1">
      <c r="A12" s="3" t="inlineStr">
        <is>
          <t>Antminer L9</t>
        </is>
      </c>
      <c r="B12" s="3" t="inlineStr">
        <is>
          <t>VNish</t>
        </is>
      </c>
      <c r="C12" s="7" t="inlineStr">
        <is>
          <t>1.2.7</t>
        </is>
      </c>
      <c r="D12" s="7" t="inlineStr">
        <is>
          <t>AML / ASIC Monitor 2.0.3 source, 2026-09-28</t>
        </is>
      </c>
      <c r="E12" s="3" t="inlineStr">
        <is>
          <t>Не проверено</t>
        </is>
      </c>
      <c r="F12" s="3" t="inlineStr">
        <is>
          <t>Не проверено</t>
        </is>
      </c>
      <c r="G12" s="3" t="inlineStr">
        <is>
          <t>Не проверено</t>
        </is>
      </c>
      <c r="H12" s="3" t="inlineStr">
        <is>
          <t>✓ Пройден</t>
        </is>
      </c>
      <c r="I12" s="3" t="inlineStr">
        <is>
          <t>✓ Пройден</t>
        </is>
      </c>
      <c r="J12" s="3" t="inlineStr">
        <is>
          <t>✓ Пройден</t>
        </is>
      </c>
      <c r="K12" s="3" t="inlineStr">
        <is>
          <t>Не проверено</t>
        </is>
      </c>
      <c r="L12" s="3" t="inlineStr">
        <is>
          <t>Не проверено</t>
        </is>
      </c>
      <c r="M12" s="3" t="inlineStr">
        <is>
          <t>Не проверено</t>
        </is>
      </c>
      <c r="N12" s="3" t="inlineStr">
        <is>
          <t>Не проверено</t>
        </is>
      </c>
      <c r="O12" s="3" t="inlineStr">
        <is>
          <t>Не проверено</t>
        </is>
      </c>
      <c r="P12" s="3" t="inlineStr">
        <is>
          <t>Не проверено</t>
        </is>
      </c>
      <c r="Q12" s="3" t="inlineStr">
        <is>
          <t>Не проверено</t>
        </is>
      </c>
      <c r="R12" s="3" t="inlineStr">
        <is>
          <t>Не проверено</t>
        </is>
      </c>
      <c r="S12" s="3">
        <f>COUNTIF(E12:R12,"✓ Пройден")</f>
        <v/>
      </c>
      <c r="T12" s="3" t="inlineStr">
        <is>
          <t>2026-09-28: docs/testing/vnish-l9-2026-09-28.md; sleep/wake/reboot passed; LED API passed, visual pending; identity source changes during startup</t>
        </is>
      </c>
    </row>
    <row r="13" ht="32" customHeight="1">
      <c r="A13" s="3" t="inlineStr">
        <is>
          <t>Antminer S21_i (web: S21)</t>
        </is>
      </c>
      <c r="B13" s="3" t="inlineStr">
        <is>
          <t>PitBit</t>
        </is>
      </c>
      <c r="C13" s="7" t="inlineStr">
        <is>
          <t>PitBit.78 / incm.C074; Fri Feb 2 17:03:40 CST 2024</t>
        </is>
      </c>
      <c r="D13" s="7" t="inlineStr">
        <is>
          <t>AMLCtrl_BHB68XXX / API 3.1 / ASIC Monitor 2.1.0 source 2026-10-03</t>
        </is>
      </c>
      <c r="E13" s="3" t="inlineStr">
        <is>
          <t>Не проверено</t>
        </is>
      </c>
      <c r="F13" s="3" t="inlineStr">
        <is>
          <t>Не проверено</t>
        </is>
      </c>
      <c r="G13" s="3" t="inlineStr">
        <is>
          <t>Не проверено</t>
        </is>
      </c>
      <c r="H13" s="3" t="inlineStr">
        <is>
          <t>✓ Пройден</t>
        </is>
      </c>
      <c r="I13" s="3" t="inlineStr">
        <is>
          <t>✓ Пройден</t>
        </is>
      </c>
      <c r="J13" s="3" t="inlineStr">
        <is>
          <t>Не проверено</t>
        </is>
      </c>
      <c r="K13" s="3" t="inlineStr">
        <is>
          <t>Не проверено</t>
        </is>
      </c>
      <c r="L13" s="3" t="inlineStr">
        <is>
          <t>Не проверено</t>
        </is>
      </c>
      <c r="M13" s="3" t="inlineStr">
        <is>
          <t>Не проверено</t>
        </is>
      </c>
      <c r="N13" s="3" t="inlineStr">
        <is>
          <t>Не проверено</t>
        </is>
      </c>
      <c r="O13" s="3" t="inlineStr">
        <is>
          <t>Не проверено</t>
        </is>
      </c>
      <c r="P13" s="3" t="inlineStr">
        <is>
          <t>Не проверено</t>
        </is>
      </c>
      <c r="Q13" s="3" t="inlineStr">
        <is>
          <t>Не проверено</t>
        </is>
      </c>
      <c r="R13" s="3" t="inlineStr">
        <is>
          <t>Не проверено</t>
        </is>
      </c>
      <c r="S13" s="3">
        <f>COUNTIF(E13:R13,"✓ Пройден")</f>
        <v/>
      </c>
      <c r="T13" s="3" t="inlineStr">
        <is>
          <t>03.10.2026: docs/testing/pitbit-s21-2026-10-03.md. LED ON/OFF подтверждены API, визуальный осмотр ожидается. Sleep: mode 1, текущий хешрейт 0, stopped. Wakeup: mode 0, майнинг возобновился; номинальный разгон не проверен. Reboot: uptime 142→30 s, прежняя идентичность, появился хешрейт. Полная конфигурация и LED восстановлены. Low/High/HEM не отправлялись. T01 и T06 не отмечены полностью пройденными: полная сверка и штатный разгон не выполнены.</t>
        </is>
      </c>
    </row>
    <row r="14" ht="32" customHeight="1">
      <c r="A14" s="3" t="inlineStr">
        <is>
          <t>Whatsminer (уточнить)</t>
        </is>
      </c>
      <c r="B14" s="3" t="inlineStr">
        <is>
          <t>Stock / RPC v3</t>
        </is>
      </c>
      <c r="C14" s="7" t="inlineStr">
        <is>
          <t>Заполнить</t>
        </is>
      </c>
      <c r="D14" s="7" t="inlineStr">
        <is>
          <t>Заполнить</t>
        </is>
      </c>
      <c r="E14" s="3" t="inlineStr">
        <is>
          <t>Не проверено</t>
        </is>
      </c>
      <c r="F14" s="3" t="inlineStr">
        <is>
          <t>Не проверено</t>
        </is>
      </c>
      <c r="G14" s="3" t="inlineStr">
        <is>
          <t>Не проверено</t>
        </is>
      </c>
      <c r="H14" s="3" t="inlineStr">
        <is>
          <t>Не проверено</t>
        </is>
      </c>
      <c r="I14" s="3" t="inlineStr">
        <is>
          <t>Не проверено</t>
        </is>
      </c>
      <c r="J14" s="3" t="inlineStr">
        <is>
          <t>Не проверено</t>
        </is>
      </c>
      <c r="K14" s="3" t="inlineStr">
        <is>
          <t>Не проверено</t>
        </is>
      </c>
      <c r="L14" s="3" t="inlineStr">
        <is>
          <t>Не проверено</t>
        </is>
      </c>
      <c r="M14" s="3" t="inlineStr">
        <is>
          <t>Не проверено</t>
        </is>
      </c>
      <c r="N14" s="3" t="inlineStr">
        <is>
          <t>Не проверено</t>
        </is>
      </c>
      <c r="O14" s="3" t="inlineStr">
        <is>
          <t>Не проверено</t>
        </is>
      </c>
      <c r="P14" s="3" t="inlineStr">
        <is>
          <t>Не проверено</t>
        </is>
      </c>
      <c r="Q14" s="3" t="inlineStr">
        <is>
          <t>Не проверено</t>
        </is>
      </c>
      <c r="R14" s="3" t="inlineStr">
        <is>
          <t>Не проверено</t>
        </is>
      </c>
      <c r="S14" s="3">
        <f>COUNTIF(E14:R14,"✓ Пройден")</f>
        <v/>
      </c>
      <c r="T14" s="3" t="str"/>
    </row>
    <row r="15" ht="32" customHeight="1">
      <c r="A15" s="3" t="inlineStr">
        <is>
          <t>Avalon (уточнить)</t>
        </is>
      </c>
      <c r="B15" s="3" t="inlineStr">
        <is>
          <t>Stock</t>
        </is>
      </c>
      <c r="C15" s="7" t="inlineStr">
        <is>
          <t>Заполнить</t>
        </is>
      </c>
      <c r="D15" s="7" t="inlineStr">
        <is>
          <t>Заполнить</t>
        </is>
      </c>
      <c r="E15" s="3" t="inlineStr">
        <is>
          <t>Не проверено</t>
        </is>
      </c>
      <c r="F15" s="3" t="inlineStr">
        <is>
          <t>Не проверено</t>
        </is>
      </c>
      <c r="G15" s="3" t="inlineStr">
        <is>
          <t>Не проверено</t>
        </is>
      </c>
      <c r="H15" s="3" t="inlineStr">
        <is>
          <t>Не проверено</t>
        </is>
      </c>
      <c r="I15" s="3" t="inlineStr">
        <is>
          <t>Не проверено</t>
        </is>
      </c>
      <c r="J15" s="3" t="inlineStr">
        <is>
          <t>Не проверено</t>
        </is>
      </c>
      <c r="K15" s="3" t="inlineStr">
        <is>
          <t>Не проверено</t>
        </is>
      </c>
      <c r="L15" s="3" t="inlineStr">
        <is>
          <t>Не проверено</t>
        </is>
      </c>
      <c r="M15" s="3" t="inlineStr">
        <is>
          <t>Не проверено</t>
        </is>
      </c>
      <c r="N15" s="3" t="inlineStr">
        <is>
          <t>Не проверено</t>
        </is>
      </c>
      <c r="O15" s="3" t="inlineStr">
        <is>
          <t>Не проверено</t>
        </is>
      </c>
      <c r="P15" s="3" t="inlineStr">
        <is>
          <t>Не проверено</t>
        </is>
      </c>
      <c r="Q15" s="3" t="inlineStr">
        <is>
          <t>Не проверено</t>
        </is>
      </c>
      <c r="R15" s="3" t="inlineStr">
        <is>
          <t>Не проверено</t>
        </is>
      </c>
      <c r="S15" s="3">
        <f>COUNTIF(E15:R15,"✓ Пройден")</f>
        <v/>
      </c>
      <c r="T15" s="3" t="str"/>
    </row>
    <row r="16" ht="32" customHeight="1">
      <c r="A16" s="3" t="inlineStr">
        <is>
          <t>Elphapex DG1</t>
        </is>
      </c>
      <c r="B16" s="3" t="inlineStr">
        <is>
          <t>Stock</t>
        </is>
      </c>
      <c r="C16" s="7" t="inlineStr">
        <is>
          <t>DG1_SW_V1.0.4</t>
        </is>
      </c>
      <c r="D16" s="7" t="inlineStr">
        <is>
          <t>DG1_HW_V1.0 / ASIC Monitor 2.0.3 source, 2026-09-28</t>
        </is>
      </c>
      <c r="E16" s="3" t="inlineStr">
        <is>
          <t>Не проверено</t>
        </is>
      </c>
      <c r="F16" s="3" t="inlineStr">
        <is>
          <t>✓ Пройден</t>
        </is>
      </c>
      <c r="G16" s="3" t="inlineStr">
        <is>
          <t>Не проверено</t>
        </is>
      </c>
      <c r="H16" s="3" t="inlineStr">
        <is>
          <t>Не проверено</t>
        </is>
      </c>
      <c r="I16" s="3" t="inlineStr">
        <is>
          <t>✓ Пройден</t>
        </is>
      </c>
      <c r="J16" s="3" t="inlineStr">
        <is>
          <t>✓ Пройден</t>
        </is>
      </c>
      <c r="K16" s="3" t="inlineStr">
        <is>
          <t>Не проверено</t>
        </is>
      </c>
      <c r="L16" s="3" t="inlineStr">
        <is>
          <t>Не проверено</t>
        </is>
      </c>
      <c r="M16" s="3" t="inlineStr">
        <is>
          <t>Не проверено</t>
        </is>
      </c>
      <c r="N16" s="3" t="inlineStr">
        <is>
          <t>Не проверено</t>
        </is>
      </c>
      <c r="O16" s="3" t="inlineStr">
        <is>
          <t>Не проверено</t>
        </is>
      </c>
      <c r="P16" s="3" t="inlineStr">
        <is>
          <t>Не проверено</t>
        </is>
      </c>
      <c r="Q16" s="3" t="inlineStr">
        <is>
          <t>Не проверено</t>
        </is>
      </c>
      <c r="R16" s="3" t="inlineStr">
        <is>
          <t>Не проверено</t>
        </is>
      </c>
      <c r="S16" s="3">
        <f>COUNTIF(E16:R16,"✓ Пройден")</f>
        <v/>
      </c>
      <c r="T16" s="3" t="inlineStr">
        <is>
          <t>2026-09-28: docs/testing/elphapex-dg1-2026-09-28.md; remaining checks in progress</t>
        </is>
      </c>
    </row>
    <row r="17" ht="32" customHeight="1">
      <c r="A17" s="3" t="inlineStr">
        <is>
          <t>iPollo (уточнить)</t>
        </is>
      </c>
      <c r="B17" s="3" t="inlineStr">
        <is>
          <t>Stock</t>
        </is>
      </c>
      <c r="C17" s="7" t="inlineStr">
        <is>
          <t>Заполнить</t>
        </is>
      </c>
      <c r="D17" s="7" t="inlineStr">
        <is>
          <t>Заполнить</t>
        </is>
      </c>
      <c r="E17" s="3" t="inlineStr">
        <is>
          <t>Не проверено</t>
        </is>
      </c>
      <c r="F17" s="3" t="inlineStr">
        <is>
          <t>Не проверено</t>
        </is>
      </c>
      <c r="G17" s="3" t="inlineStr">
        <is>
          <t>Не проверено</t>
        </is>
      </c>
      <c r="H17" s="3" t="inlineStr">
        <is>
          <t>Не проверено</t>
        </is>
      </c>
      <c r="I17" s="3" t="inlineStr">
        <is>
          <t>Не проверено</t>
        </is>
      </c>
      <c r="J17" s="3" t="inlineStr">
        <is>
          <t>Не проверено</t>
        </is>
      </c>
      <c r="K17" s="3" t="inlineStr">
        <is>
          <t>Не проверено</t>
        </is>
      </c>
      <c r="L17" s="3" t="inlineStr">
        <is>
          <t>Не проверено</t>
        </is>
      </c>
      <c r="M17" s="3" t="inlineStr">
        <is>
          <t>Не проверено</t>
        </is>
      </c>
      <c r="N17" s="3" t="inlineStr">
        <is>
          <t>Не проверено</t>
        </is>
      </c>
      <c r="O17" s="3" t="inlineStr">
        <is>
          <t>Не проверено</t>
        </is>
      </c>
      <c r="P17" s="3" t="inlineStr">
        <is>
          <t>Не проверено</t>
        </is>
      </c>
      <c r="Q17" s="3" t="inlineStr">
        <is>
          <t>Не проверено</t>
        </is>
      </c>
      <c r="R17" s="3" t="inlineStr">
        <is>
          <t>Не проверено</t>
        </is>
      </c>
      <c r="S17" s="3">
        <f>COUNTIF(E17:R17,"✓ Пройден")</f>
        <v/>
      </c>
      <c r="T17" s="3" t="str"/>
    </row>
    <row r="18" ht="32" customHeight="1">
      <c r="A18" s="3" t="inlineStr">
        <is>
          <t>Jasminer (уточнить)</t>
        </is>
      </c>
      <c r="B18" s="3" t="inlineStr">
        <is>
          <t>Stock</t>
        </is>
      </c>
      <c r="C18" s="7" t="inlineStr">
        <is>
          <t>Заполнить</t>
        </is>
      </c>
      <c r="D18" s="7" t="inlineStr">
        <is>
          <t>Заполнить</t>
        </is>
      </c>
      <c r="E18" s="3" t="inlineStr">
        <is>
          <t>Не проверено</t>
        </is>
      </c>
      <c r="F18" s="3" t="inlineStr">
        <is>
          <t>Не проверено</t>
        </is>
      </c>
      <c r="G18" s="3" t="inlineStr">
        <is>
          <t>Не проверено</t>
        </is>
      </c>
      <c r="H18" s="3" t="inlineStr">
        <is>
          <t>Не проверено</t>
        </is>
      </c>
      <c r="I18" s="3" t="inlineStr">
        <is>
          <t>Не проверено</t>
        </is>
      </c>
      <c r="J18" s="3" t="inlineStr">
        <is>
          <t>Не проверено</t>
        </is>
      </c>
      <c r="K18" s="3" t="inlineStr">
        <is>
          <t>Не проверено</t>
        </is>
      </c>
      <c r="L18" s="3" t="inlineStr">
        <is>
          <t>Не проверено</t>
        </is>
      </c>
      <c r="M18" s="3" t="inlineStr">
        <is>
          <t>Не проверено</t>
        </is>
      </c>
      <c r="N18" s="3" t="inlineStr">
        <is>
          <t>Не проверено</t>
        </is>
      </c>
      <c r="O18" s="3" t="inlineStr">
        <is>
          <t>Не проверено</t>
        </is>
      </c>
      <c r="P18" s="3" t="inlineStr">
        <is>
          <t>Не проверено</t>
        </is>
      </c>
      <c r="Q18" s="3" t="inlineStr">
        <is>
          <t>Не проверено</t>
        </is>
      </c>
      <c r="R18" s="3" t="inlineStr">
        <is>
          <t>Не проверено</t>
        </is>
      </c>
      <c r="S18" s="3">
        <f>COUNTIF(E18:R18,"✓ Пройден")</f>
        <v/>
      </c>
      <c r="T18" s="3" t="str"/>
    </row>
    <row r="19" ht="32" customHeight="1">
      <c r="A19" s="3" t="inlineStr">
        <is>
          <t>Укажите модель</t>
        </is>
      </c>
      <c r="B19" s="3" t="inlineStr">
        <is>
          <t>CGMiner</t>
        </is>
      </c>
      <c r="C19" s="7" t="inlineStr">
        <is>
          <t>Заполнить</t>
        </is>
      </c>
      <c r="D19" s="7" t="inlineStr">
        <is>
          <t>Заполнить</t>
        </is>
      </c>
      <c r="E19" s="3" t="inlineStr">
        <is>
          <t>Не проверено</t>
        </is>
      </c>
      <c r="F19" s="3" t="inlineStr">
        <is>
          <t>Не проверено</t>
        </is>
      </c>
      <c r="G19" s="3" t="inlineStr">
        <is>
          <t>Не проверено</t>
        </is>
      </c>
      <c r="H19" s="3" t="inlineStr">
        <is>
          <t>Не проверено</t>
        </is>
      </c>
      <c r="I19" s="3" t="inlineStr">
        <is>
          <t>Не проверено</t>
        </is>
      </c>
      <c r="J19" s="3" t="inlineStr">
        <is>
          <t>Не проверено</t>
        </is>
      </c>
      <c r="K19" s="3" t="inlineStr">
        <is>
          <t>Не проверено</t>
        </is>
      </c>
      <c r="L19" s="3" t="inlineStr">
        <is>
          <t>Не проверено</t>
        </is>
      </c>
      <c r="M19" s="3" t="inlineStr">
        <is>
          <t>Не проверено</t>
        </is>
      </c>
      <c r="N19" s="3" t="inlineStr">
        <is>
          <t>Не проверено</t>
        </is>
      </c>
      <c r="O19" s="3" t="inlineStr">
        <is>
          <t>Не проверено</t>
        </is>
      </c>
      <c r="P19" s="3" t="inlineStr">
        <is>
          <t>Не проверено</t>
        </is>
      </c>
      <c r="Q19" s="3" t="inlineStr">
        <is>
          <t>Не проверено</t>
        </is>
      </c>
      <c r="R19" s="3" t="inlineStr">
        <is>
          <t>Не проверено</t>
        </is>
      </c>
      <c r="S19" s="3">
        <f>COUNTIF(E19:R19,"✓ Пройден")</f>
        <v/>
      </c>
      <c r="T19" s="3" t="str"/>
    </row>
    <row r="20" ht="32" customHeight="1">
      <c r="A20" s="3" t="inlineStr">
        <is>
          <t>Укажите модель</t>
        </is>
      </c>
      <c r="B20" s="3" t="inlineStr">
        <is>
          <t>CGMiner Web</t>
        </is>
      </c>
      <c r="C20" s="7" t="inlineStr">
        <is>
          <t>Заполнить</t>
        </is>
      </c>
      <c r="D20" s="7" t="inlineStr">
        <is>
          <t>Заполнить</t>
        </is>
      </c>
      <c r="E20" s="3" t="inlineStr">
        <is>
          <t>Не проверено</t>
        </is>
      </c>
      <c r="F20" s="3" t="inlineStr">
        <is>
          <t>Не проверено</t>
        </is>
      </c>
      <c r="G20" s="3" t="inlineStr">
        <is>
          <t>Не проверено</t>
        </is>
      </c>
      <c r="H20" s="3" t="inlineStr">
        <is>
          <t>Не проверено</t>
        </is>
      </c>
      <c r="I20" s="3" t="inlineStr">
        <is>
          <t>Не проверено</t>
        </is>
      </c>
      <c r="J20" s="3" t="inlineStr">
        <is>
          <t>Не проверено</t>
        </is>
      </c>
      <c r="K20" s="3" t="inlineStr">
        <is>
          <t>Не проверено</t>
        </is>
      </c>
      <c r="L20" s="3" t="inlineStr">
        <is>
          <t>Не проверено</t>
        </is>
      </c>
      <c r="M20" s="3" t="inlineStr">
        <is>
          <t>Не проверено</t>
        </is>
      </c>
      <c r="N20" s="3" t="inlineStr">
        <is>
          <t>Не проверено</t>
        </is>
      </c>
      <c r="O20" s="3" t="inlineStr">
        <is>
          <t>Не проверено</t>
        </is>
      </c>
      <c r="P20" s="3" t="inlineStr">
        <is>
          <t>Не проверено</t>
        </is>
      </c>
      <c r="Q20" s="3" t="inlineStr">
        <is>
          <t>Не проверено</t>
        </is>
      </c>
      <c r="R20" s="3" t="inlineStr">
        <is>
          <t>Не проверено</t>
        </is>
      </c>
      <c r="S20" s="3">
        <f>COUNTIF(E20:R20,"✓ Пройден")</f>
        <v/>
      </c>
      <c r="T20" s="3" t="str"/>
    </row>
    <row r="21" ht="32" customHeight="1">
      <c r="A21" s="3" t="inlineStr">
        <is>
          <t>Antminer T21</t>
        </is>
      </c>
      <c r="B21" s="3" t="inlineStr">
        <is>
          <t>Stock</t>
        </is>
      </c>
      <c r="C21" s="7" t="inlineStr">
        <is>
          <t>Thu Jan 16 11:00:25 CST 2025</t>
        </is>
      </c>
      <c r="D21" s="7" t="inlineStr">
        <is>
          <t>ASIC Monitor 2.0.3 source 01.10.2026; API 3.1</t>
        </is>
      </c>
      <c r="E21" s="3" t="inlineStr">
        <is>
          <t>Не проверено</t>
        </is>
      </c>
      <c r="F21" s="3" t="inlineStr">
        <is>
          <t>✓ Пройден</t>
        </is>
      </c>
      <c r="G21" s="3" t="inlineStr">
        <is>
          <t>✓ Пройден</t>
        </is>
      </c>
      <c r="H21" s="3" t="inlineStr">
        <is>
          <t>✓ Пройден</t>
        </is>
      </c>
      <c r="I21" s="3" t="inlineStr">
        <is>
          <t>✓ Пройден</t>
        </is>
      </c>
      <c r="J21" s="3" t="inlineStr">
        <is>
          <t>✓ Пройден</t>
        </is>
      </c>
      <c r="K21" s="3" t="inlineStr">
        <is>
          <t>Не поддерживается</t>
        </is>
      </c>
      <c r="L21" s="3" t="inlineStr">
        <is>
          <t>✓ Пройден</t>
        </is>
      </c>
      <c r="M21" s="3" t="inlineStr">
        <is>
          <t>✓ Пройден</t>
        </is>
      </c>
      <c r="N21" s="3" t="inlineStr">
        <is>
          <t>Не проверено</t>
        </is>
      </c>
      <c r="O21" s="3" t="inlineStr">
        <is>
          <t>Не проверено</t>
        </is>
      </c>
      <c r="P21" s="3" t="inlineStr">
        <is>
          <t>Не проверено</t>
        </is>
      </c>
      <c r="Q21" s="3" t="inlineStr">
        <is>
          <t>Не проверено</t>
        </is>
      </c>
      <c r="R21" s="3" t="inlineStr">
        <is>
          <t>Не проверено</t>
        </is>
      </c>
      <c r="S21" s="3">
        <f>COUNTIF(E21:R21,"✓ Пройден")</f>
        <v/>
      </c>
      <c r="T21" s="3" t="inlineStr">
        <is>
          <t>01.10.2026, 10.33.17.27: 7 команд подтверждены API; reboot uptime 250→0. Normal восстановлен, LED выключен, конфигурация до/после совпала. Разгон не проверялся по указанию пользователя. Первый sleep применился, но GUI счёл M000 отказом; исправлено в профиле. docs/testing/stock-regressions-2026-09-28.md, раздел 01.10.2026 T21 от 16.01.2025.</t>
        </is>
      </c>
    </row>
    <row r="22" ht="32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</row>
    <row r="23" ht="32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 ht="32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</row>
    <row r="25" ht="32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</sheetData>
  <mergeCells count="4">
    <mergeCell ref="A1:F1"/>
    <mergeCell ref="A2:F2"/>
    <mergeCell ref="G3:H3"/>
    <mergeCell ref="A3:D3"/>
  </mergeCells>
  <conditionalFormatting sqref="E6:R21">
    <cfRule type="containsText" priority="1" operator="containsText" dxfId="0" text="✓ Пройден"/>
    <cfRule type="containsText" priority="2" operator="containsText" dxfId="1" text="✗ Ошибка"/>
    <cfRule type="containsText" priority="3" operator="containsText" dxfId="2" text="Не проверено"/>
    <cfRule type="containsText" priority="4" operator="containsText" dxfId="3" text="Не поддерживается"/>
  </conditionalFormatting>
  <dataValidations count="1">
    <dataValidation sqref="E6:R21" showDropDown="0" showInputMessage="0" showErrorMessage="0" allowBlank="0" type="list">
      <formula1>"Не проверено,✓ Пройден,✗ Ошибка,Не поддерживается"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9.380000114440918" customWidth="1" min="1" max="1"/>
    <col width="21.8799991607666" customWidth="1" min="2" max="2"/>
    <col width="48.13000106811523" customWidth="1" min="3" max="3"/>
    <col width="53.13000106811523" customWidth="1" min="4" max="4"/>
    <col width="25.6299991607666" customWidth="1" min="5" max="5"/>
    <col width="28.75" customWidth="1" min="6" max="6"/>
  </cols>
  <sheetData>
    <row r="1" ht="32" customHeight="1">
      <c r="A1" s="4" t="inlineStr">
        <is>
          <t>Протокол испытаний</t>
        </is>
      </c>
    </row>
    <row r="2" ht="48" customHeight="1">
      <c r="A2" s="3" t="inlineStr">
        <is>
          <t>Управление — вручную на тестовом ASIC. До начала запишите режим и согласуйте время восстановления. HTTP 200 не равен успешному выполнению.</t>
        </is>
      </c>
    </row>
    <row r="3" ht="32" customHeight="1">
      <c r="A3" s="3" t="n"/>
      <c r="B3" s="3" t="n"/>
      <c r="C3" s="3" t="n"/>
      <c r="D3" s="3" t="n"/>
      <c r="E3" s="3" t="n"/>
      <c r="F3" s="3" t="n"/>
    </row>
    <row r="4" ht="32" customHeight="1">
      <c r="A4" s="3" t="n"/>
      <c r="B4" s="3" t="n"/>
      <c r="C4" s="3" t="n"/>
      <c r="D4" s="3" t="n"/>
      <c r="E4" s="3" t="n"/>
      <c r="F4" s="3" t="n"/>
    </row>
    <row r="5" ht="48" customHeight="1">
      <c r="A5" s="6" t="inlineStr">
        <is>
          <t>ID</t>
        </is>
      </c>
      <c r="B5" s="6" t="inlineStr">
        <is>
          <t>Проверка</t>
        </is>
      </c>
      <c r="C5" s="6" t="inlineStr">
        <is>
          <t>Действия</t>
        </is>
      </c>
      <c r="D5" s="6" t="inlineStr">
        <is>
          <t>Критерий успеха</t>
        </is>
      </c>
      <c r="E5" s="6" t="inlineStr">
        <is>
          <t>Объём</t>
        </is>
      </c>
      <c r="F5" s="6" t="inlineStr">
        <is>
          <t>Доказательство</t>
        </is>
      </c>
    </row>
    <row r="6" ht="100" customHeight="1">
      <c r="A6" s="3" t="inlineStr">
        <is>
          <t>T01</t>
        </is>
      </c>
      <c r="B6" s="3" t="inlineStr">
        <is>
          <t>Модель и телеметрия</t>
        </is>
      </c>
      <c r="C6" s="3" t="inlineStr">
        <is>
          <t>Выполнить первый и повторный опрос. Сверить модель, сборку, единицы хешрейта, температуру, вентиляторы и uptime с веб-интерфейсом.</t>
        </is>
      </c>
      <c r="D6" s="3" t="inlineStr">
        <is>
          <t>Модель/сборка точны; показатели в согласованном допуске; отсутствующие данные не превращаются в нули.</t>
        </is>
      </c>
      <c r="E6" s="3" t="inlineStr">
        <is>
          <t>2 опроса</t>
        </is>
      </c>
      <c r="F6" s="3" t="inlineStr">
        <is>
          <t>ZIP + снимок веб-интерфейса</t>
        </is>
      </c>
    </row>
    <row r="7" ht="100" customHeight="1">
      <c r="A7" s="3" t="inlineStr">
        <is>
          <t>T02</t>
        </is>
      </c>
      <c r="B7" s="3" t="inlineStr">
        <is>
          <t>Подсветка: включить</t>
        </is>
      </c>
      <c r="C7" s="3" t="inlineStr">
        <is>
          <t>Послать одну команду LED ON и осмотреть устройство.</t>
        </is>
      </c>
      <c r="D7" s="3" t="inlineStr">
        <is>
          <t>Нужный индикатор действительно включился на нужном ASIC.</t>
        </is>
      </c>
      <c r="E7" s="3" t="inlineStr">
        <is>
          <t>1 раз</t>
        </is>
      </c>
      <c r="F7" s="3" t="inlineStr">
        <is>
          <t>Фото / наблюдение</t>
        </is>
      </c>
    </row>
    <row r="8" ht="100" customHeight="1">
      <c r="A8" s="3" t="inlineStr">
        <is>
          <t>T03</t>
        </is>
      </c>
      <c r="B8" s="3" t="inlineStr">
        <is>
          <t>Подсветка: выключить</t>
        </is>
      </c>
      <c r="C8" s="3" t="inlineStr">
        <is>
          <t>После T02 послать LED OFF.</t>
        </is>
      </c>
      <c r="D8" s="3" t="inlineStr">
        <is>
          <t>Индикатор выключен; добыча не нарушена.</t>
        </is>
      </c>
      <c r="E8" s="3" t="inlineStr">
        <is>
          <t>1 раз</t>
        </is>
      </c>
      <c r="F8" s="3" t="inlineStr">
        <is>
          <t>Фото / наблюдение</t>
        </is>
      </c>
    </row>
    <row r="9" ht="100" customHeight="1">
      <c r="A9" s="3" t="inlineStr">
        <is>
          <t>T04</t>
        </is>
      </c>
      <c r="B9" s="3" t="inlineStr">
        <is>
          <t>Перезагрузка</t>
        </is>
      </c>
      <c r="C9" s="3" t="inlineStr">
        <is>
          <t>Записать uptime. Послать reboot один раз. Дождаться возвращения устройства.</t>
        </is>
      </c>
      <c r="D9" s="3" t="inlineStr">
        <is>
          <t>Новый uptime меньше исходного; идентичность та же; майнинг возобновился. Таймаут команды не считается успехом.</t>
        </is>
      </c>
      <c r="E9" s="3" t="inlineStr">
        <is>
          <t>1 раз; лимит ожидания записать</t>
        </is>
      </c>
      <c r="F9" s="3" t="inlineStr">
        <is>
          <t>ZIP до/после + время возврата</t>
        </is>
      </c>
    </row>
    <row r="10" ht="100" customHeight="1">
      <c r="A10" s="3" t="inlineStr">
        <is>
          <t>T05</t>
        </is>
      </c>
      <c r="B10" s="3" t="inlineStr">
        <is>
          <t>Остановить майнинг</t>
        </is>
      </c>
      <c r="C10" s="3" t="inlineStr">
        <is>
          <t>Записать исходный режим; послать stop/sleep. Повторно прочитать состояние.</t>
        </is>
      </c>
      <c r="D10" s="3" t="inlineStr">
        <is>
          <t>Добыча остановлена, состояние подтверждено API/веб-интерфейсом. Учесть окно усреднения хешрейта.</t>
        </is>
      </c>
      <c r="E10" s="3" t="inlineStr">
        <is>
          <t>1 раз</t>
        </is>
      </c>
      <c r="F10" s="3" t="inlineStr">
        <is>
          <t>Режим + показатели после ожидания</t>
        </is>
      </c>
    </row>
    <row r="11" ht="100" customHeight="1">
      <c r="A11" s="3" t="inlineStr">
        <is>
          <t>T06</t>
        </is>
      </c>
      <c r="B11" s="3" t="inlineStr">
        <is>
          <t>Возобновить майнинг</t>
        </is>
      </c>
      <c r="C11" s="3" t="inlineStr">
        <is>
          <t>После T05 послать start/resume и дождаться штатного разгона.</t>
        </is>
      </c>
      <c r="D11" s="3" t="inlineStr">
        <is>
          <t>Рабочее состояние и хешрейт восстановлены; пулы и настройки сохранены.</t>
        </is>
      </c>
      <c r="E11" s="3" t="inlineStr">
        <is>
          <t>1 раз</t>
        </is>
      </c>
      <c r="F11" s="3" t="inlineStr">
        <is>
          <t>ZIP + время восстановления</t>
        </is>
      </c>
    </row>
    <row r="12" ht="100" customHeight="1">
      <c r="A12" s="3" t="inlineStr">
        <is>
          <t>T07</t>
        </is>
      </c>
      <c r="B12" s="3" t="inlineStr">
        <is>
          <t>Режим Low</t>
        </is>
      </c>
      <c r="C12" s="3" t="inlineStr">
        <is>
          <t>Если доступен, включить Low; перечитать режим и измерить показатели после стабилизации.</t>
        </is>
      </c>
      <c r="D12" s="3" t="inlineStr">
        <is>
          <t>API подтверждает Low; показатели соответствуют документации. Другие настройки не потеряны.</t>
        </is>
      </c>
      <c r="E12" s="3" t="inlineStr">
        <is>
          <t>1 раз</t>
        </is>
      </c>
      <c r="F12" s="3" t="inlineStr">
        <is>
          <t>Режим до/после</t>
        </is>
      </c>
    </row>
    <row r="13" ht="100" customHeight="1">
      <c r="A13" s="3" t="inlineStr">
        <is>
          <t>T08</t>
        </is>
      </c>
      <c r="B13" s="3" t="inlineStr">
        <is>
          <t>Режим Normal</t>
        </is>
      </c>
      <c r="C13" s="3" t="inlineStr">
        <is>
          <t>Включить Normal и дождаться стабилизации.</t>
        </is>
      </c>
      <c r="D13" s="3" t="inlineStr">
        <is>
          <t>Возврат к Normal подтверждён чтением; штатный хешрейт восстановлен.</t>
        </is>
      </c>
      <c r="E13" s="3" t="inlineStr">
        <is>
          <t>1 раз</t>
        </is>
      </c>
      <c r="F13" s="3" t="inlineStr">
        <is>
          <t>Режим до/после</t>
        </is>
      </c>
    </row>
    <row r="14" ht="100" customHeight="1">
      <c r="A14" s="3" t="inlineStr">
        <is>
          <t>T09</t>
        </is>
      </c>
      <c r="B14" s="3" t="inlineStr">
        <is>
          <t>Режим HEM</t>
        </is>
      </c>
      <c r="C14" s="3" t="inlineStr">
        <is>
          <t>Только если модель и прошивка его поддерживают: включить HEM, проверить, вернуть исходный режим.</t>
        </is>
      </c>
      <c r="D14" s="3" t="inlineStr">
        <is>
          <t>Режим подтверждён; температуры в допустимых пределах производителя. Иначе зафиксировать отсутствие поддержки.</t>
        </is>
      </c>
      <c r="E14" s="3" t="inlineStr">
        <is>
          <t>1 раз</t>
        </is>
      </c>
      <c r="F14" s="3" t="inlineStr">
        <is>
          <t>Режим / температуры / основание НП</t>
        </is>
      </c>
    </row>
    <row r="15" ht="100" customHeight="1">
      <c r="A15" s="3" t="inlineStr">
        <is>
          <t>S01</t>
        </is>
      </c>
      <c r="B15" s="3" t="inlineStr">
        <is>
          <t>Повторный опрос 1 ч</t>
        </is>
      </c>
      <c r="C15" s="3" t="inlineStr">
        <is>
          <t>120 циклов с паузой 30 с после цикла. Записать фактическую длительность.</t>
        </is>
      </c>
      <c r="D15" s="3" t="inlineStr">
        <is>
          <t>0 необъяснённых ошибок на стабильной сети, нет дублей, зависаний и потери идентичности.</t>
        </is>
      </c>
      <c r="E15" s="3" t="inlineStr">
        <is>
          <t>120 циклов; workers 8</t>
        </is>
      </c>
      <c r="F15" s="3" t="inlineStr">
        <is>
          <t>ZIP; ошибки/циклы; задержки</t>
        </is>
      </c>
    </row>
    <row r="16" ht="100" customHeight="1">
      <c r="A16" s="3" t="inlineStr">
        <is>
          <t>S02</t>
        </is>
      </c>
      <c r="B16" s="3" t="inlineStr">
        <is>
          <t>Повторный опрос 24 ч</t>
        </is>
      </c>
      <c r="C16" s="3" t="inlineStr">
        <is>
          <t>2880 циклов с паузой 30 с. Периодически фиксировать память процесса и отклик GUI отдельно.</t>
        </is>
      </c>
      <c r="D16" s="3" t="inlineStr">
        <is>
          <t>Нет зависаний и устойчивого роста памяти после прогрева. Порог памяти согласовать до старта.</t>
        </is>
      </c>
      <c r="E16" s="3" t="inlineStr">
        <is>
          <t>Не менее 24 ч</t>
        </is>
      </c>
      <c r="F16" s="3" t="inlineStr">
        <is>
          <t>ZIP; замеры RAM; длительность</t>
        </is>
      </c>
    </row>
    <row r="17" ht="100" customHeight="1">
      <c r="A17" s="3" t="inlineStr">
        <is>
          <t>S03</t>
        </is>
      </c>
      <c r="B17" s="3" t="inlineStr">
        <is>
          <t>Потеря и возврат связи</t>
        </is>
      </c>
      <c r="C17" s="3" t="inlineStr">
        <is>
          <t>После успешного чтения временно отключить сеть тестового ASIC; затем восстановить.</t>
        </is>
      </c>
      <c r="D17" s="3" t="inlineStr">
        <is>
          <t>Старые данные помечены устаревшими; после возврата снова появляются свежие показатели.</t>
        </is>
      </c>
      <c r="E17" s="3" t="inlineStr">
        <is>
          <t>3 цикла отключения</t>
        </is>
      </c>
      <c r="F17" s="3" t="inlineStr">
        <is>
          <t>ZIP + время восстановления</t>
        </is>
      </c>
    </row>
    <row r="18" ht="100" customHeight="1">
      <c r="A18" s="3" t="inlineStr">
        <is>
          <t>S04</t>
        </is>
      </c>
      <c r="B18" s="3" t="inlineStr">
        <is>
          <t>Параллельное сканирование</t>
        </is>
      </c>
      <c r="C18" s="3" t="inlineStr">
        <is>
          <t>Одинаковый диапазон: workers 1, 8, 16; по 3 прогона. Записать число адресов и активных ASIC.</t>
        </is>
      </c>
      <c r="D18" s="3" t="inlineStr">
        <is>
          <t>Состав устройств одинаков; сравнить длительность/ошибки. Повышение потоков не должно терять устройства.</t>
        </is>
      </c>
      <c r="E18" s="3" t="inlineStr">
        <is>
          <t>9 прогонов</t>
        </is>
      </c>
      <c r="F18" s="3" t="inlineStr">
        <is>
          <t>3 ZIP на каждую настройку</t>
        </is>
      </c>
    </row>
    <row r="19" ht="100" customHeight="1">
      <c r="A19" s="3" t="inlineStr">
        <is>
          <t>S05</t>
        </is>
      </c>
      <c r="B19" s="3" t="inlineStr">
        <is>
          <t>Отмена и повторный старт</t>
        </is>
      </c>
      <c r="C19" s="3" t="inlineStr">
        <is>
          <t>Запустить длинный диапазон, отменить. Затем выполнить новый опрос.</t>
        </is>
      </c>
      <c r="D19" s="3" t="inlineStr">
        <is>
          <t>Процесс завершает запросы в пределах бюджета устройства + запас 5 с; повторный запуск работает.</t>
        </is>
      </c>
      <c r="E19" s="3" t="inlineStr">
        <is>
          <t>3 повтора</t>
        </is>
      </c>
      <c r="F19" s="3" t="inlineStr">
        <is>
          <t>Частичный ZIP + время отмены</t>
        </is>
      </c>
    </row>
    <row r="20" ht="100" customHeight="1">
      <c r="A20" s="3" t="inlineStr">
        <is>
          <t>X01</t>
        </is>
      </c>
      <c r="B20" s="3" t="inlineStr">
        <is>
          <t>Экспорт GUI</t>
        </is>
      </c>
      <c r="C20" s="3" t="inlineStr">
        <is>
          <t>На реальных данных проверить PNG из буфера, PDF и XLSX.</t>
        </is>
      </c>
      <c r="D20" s="3" t="inlineStr">
        <is>
          <t>PNG содержит видимые итоги и таблицу; PDF/XLSX имеют нужные колонки и корректные значения.</t>
        </is>
      </c>
      <c r="E20" s="3" t="inlineStr">
        <is>
          <t>После T01</t>
        </is>
      </c>
      <c r="F20" s="3" t="inlineStr">
        <is>
          <t>Файлы отчётов; хранить локально</t>
        </is>
      </c>
    </row>
    <row r="21" ht="100" customHeight="1">
      <c r="A21" s="3" t="inlineStr">
        <is>
          <t>X02</t>
        </is>
      </c>
      <c r="B21" s="3" t="inlineStr">
        <is>
          <t>Неверный пароль</t>
        </is>
      </c>
      <c r="C21" s="3" t="inlineStr">
        <is>
          <t>В отдельном сеансе задать неверный пароль, потом верный.</t>
        </is>
      </c>
      <c r="D21" s="3" t="inlineStr">
        <is>
          <t>Отказ не считается отсутствием функции; после корректного входа чтение восстанавливается.</t>
        </is>
      </c>
      <c r="E21" s="3" t="inlineStr">
        <is>
          <t>1 пара попыток</t>
        </is>
      </c>
      <c r="F21" s="3" t="inlineStr">
        <is>
          <t>Классы ошибок без пароля</t>
        </is>
      </c>
    </row>
    <row r="22" ht="32" customHeight="1">
      <c r="A22" s="3" t="n"/>
      <c r="B22" s="3" t="n"/>
      <c r="C22" s="3" t="n"/>
      <c r="D22" s="3" t="n"/>
      <c r="E22" s="3" t="n"/>
      <c r="F22" s="3" t="n"/>
    </row>
    <row r="23" ht="32" customHeight="1">
      <c r="A23" s="3" t="n"/>
      <c r="B23" s="3" t="n"/>
      <c r="C23" s="3" t="n"/>
      <c r="D23" s="3" t="n"/>
      <c r="E23" s="3" t="n"/>
      <c r="F23" s="3" t="n"/>
    </row>
    <row r="24" ht="32" customHeight="1">
      <c r="A24" s="3" t="n"/>
      <c r="B24" s="3" t="n"/>
      <c r="C24" s="3" t="n"/>
      <c r="D24" s="3" t="n"/>
      <c r="E24" s="3" t="n"/>
      <c r="F24" s="3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xSplit="3" ySplit="5" topLeftCell="D6" activePane="bottomRight" state="frozen"/>
      <selection activeCell="A1" sqref="A1"/>
    </sheetView>
  </sheetViews>
  <sheetFormatPr baseColWidth="8" defaultRowHeight="15"/>
  <cols>
    <col width="17.5" customWidth="1" min="1" max="1"/>
    <col width="16.25" customWidth="1" min="2" max="2"/>
    <col width="23.1299991607666" customWidth="1" min="3" max="3"/>
    <col width="10.63000011444092" customWidth="1" min="4" max="4"/>
    <col width="13.75" customWidth="1" min="5" max="5"/>
    <col width="13.75" customWidth="1" min="6" max="6"/>
    <col width="13.75" customWidth="1" min="7" max="7"/>
    <col width="15" customWidth="1" min="8" max="8"/>
    <col width="17.5" customWidth="1" min="9" max="9"/>
    <col width="21.25" customWidth="1" min="10" max="10"/>
    <col width="30" customWidth="1" min="11" max="11"/>
    <col width="37.5" customWidth="1" min="12" max="12"/>
  </cols>
  <sheetData>
    <row r="1" ht="32" customHeight="1">
      <c r="A1" s="4" t="inlineStr">
        <is>
          <t>Журнал испытаний</t>
        </is>
      </c>
      <c r="G1" s="3" t="n"/>
      <c r="H1" s="3" t="n"/>
      <c r="I1" s="3" t="n"/>
      <c r="J1" s="3" t="n"/>
      <c r="K1" s="3" t="n"/>
      <c r="L1" s="3" t="n"/>
    </row>
    <row r="2" ht="48" customHeight="1">
      <c r="A2" s="3" t="inlineStr">
        <is>
          <t>Заполняйте фактические результаты. Укажите модель, ревизию, точную сборку и версию программы в паспорте прогона. Для каждого теста — отдельная запись.</t>
        </is>
      </c>
      <c r="G2" s="3" t="n"/>
      <c r="H2" s="3" t="n"/>
      <c r="I2" s="3" t="n"/>
      <c r="J2" s="3" t="n"/>
      <c r="K2" s="3" t="n"/>
      <c r="L2" s="3" t="n"/>
    </row>
    <row r="3" ht="3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3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48" customHeight="1">
      <c r="A5" s="6" t="inlineStr">
        <is>
          <t>Дата / время</t>
        </is>
      </c>
      <c r="B5" s="6" t="inlineStr">
        <is>
          <t>Устройство / псевдоним</t>
        </is>
      </c>
      <c r="C5" s="6" t="inlineStr">
        <is>
          <t>Паспорт: модель, FW, HW, ПО</t>
        </is>
      </c>
      <c r="D5" s="6" t="inlineStr">
        <is>
          <t>Тест ID</t>
        </is>
      </c>
      <c r="E5" s="6" t="inlineStr">
        <is>
          <t>Попыток</t>
        </is>
      </c>
      <c r="F5" s="6" t="inlineStr">
        <is>
          <t>Успешных</t>
        </is>
      </c>
      <c r="G5" s="6" t="inlineStr">
        <is>
          <t>Ошибок</t>
        </is>
      </c>
      <c r="H5" s="6" t="inlineStr">
        <is>
          <t>Доля успеха</t>
        </is>
      </c>
      <c r="I5" s="6" t="inlineStr">
        <is>
          <t>Длительность, с</t>
        </is>
      </c>
      <c r="J5" s="6" t="inlineStr">
        <is>
          <t>Итог</t>
        </is>
      </c>
      <c r="K5" s="6" t="inlineStr">
        <is>
          <t>Файл доказательства</t>
        </is>
      </c>
      <c r="L5" s="6" t="inlineStr">
        <is>
          <t>Исполнитель / замечания</t>
        </is>
      </c>
    </row>
    <row r="6" ht="32" customHeight="1">
      <c r="A6" s="3" t="str"/>
      <c r="B6" s="3" t="str"/>
      <c r="C6" s="3" t="str"/>
      <c r="D6" s="3" t="str"/>
      <c r="E6" s="3" t="n"/>
      <c r="F6" s="3" t="n"/>
      <c r="G6" s="3" t="n"/>
      <c r="H6" s="9">
        <f>IF(E6&gt;0,F6/E6,"")</f>
        <v/>
      </c>
      <c r="I6" s="3" t="n"/>
      <c r="J6" s="3" t="inlineStr">
        <is>
          <t>Не проверено</t>
        </is>
      </c>
      <c r="K6" s="3" t="str"/>
      <c r="L6" s="3" t="str"/>
    </row>
    <row r="7" ht="32" customHeight="1">
      <c r="A7" s="3" t="str"/>
      <c r="B7" s="3" t="str"/>
      <c r="C7" s="3" t="str"/>
      <c r="D7" s="3" t="str"/>
      <c r="E7" s="3" t="n"/>
      <c r="F7" s="3" t="n"/>
      <c r="G7" s="3" t="n"/>
      <c r="H7" s="9">
        <f>IF(E7&gt;0,F7/E7,"")</f>
        <v/>
      </c>
      <c r="I7" s="3" t="n"/>
      <c r="J7" s="3" t="inlineStr">
        <is>
          <t>Не проверено</t>
        </is>
      </c>
      <c r="K7" s="3" t="str"/>
      <c r="L7" s="3" t="str"/>
    </row>
    <row r="8" ht="32" customHeight="1">
      <c r="A8" s="3" t="str"/>
      <c r="B8" s="3" t="str"/>
      <c r="C8" s="3" t="str"/>
      <c r="D8" s="3" t="str"/>
      <c r="E8" s="3" t="n"/>
      <c r="F8" s="3" t="n"/>
      <c r="G8" s="3" t="n"/>
      <c r="H8" s="9">
        <f>IF(E8&gt;0,F8/E8,"")</f>
        <v/>
      </c>
      <c r="I8" s="3" t="n"/>
      <c r="J8" s="3" t="inlineStr">
        <is>
          <t>Не проверено</t>
        </is>
      </c>
      <c r="K8" s="3" t="str"/>
      <c r="L8" s="3" t="str"/>
    </row>
    <row r="9" ht="32" customHeight="1">
      <c r="A9" s="3" t="str"/>
      <c r="B9" s="3" t="str"/>
      <c r="C9" s="3" t="str"/>
      <c r="D9" s="3" t="str"/>
      <c r="E9" s="3" t="n"/>
      <c r="F9" s="3" t="n"/>
      <c r="G9" s="3" t="n"/>
      <c r="H9" s="9">
        <f>IF(E9&gt;0,F9/E9,"")</f>
        <v/>
      </c>
      <c r="I9" s="3" t="n"/>
      <c r="J9" s="3" t="inlineStr">
        <is>
          <t>Не проверено</t>
        </is>
      </c>
      <c r="K9" s="3" t="str"/>
      <c r="L9" s="3" t="str"/>
    </row>
    <row r="10" ht="32" customHeight="1">
      <c r="A10" s="3" t="str"/>
      <c r="B10" s="3" t="str"/>
      <c r="C10" s="3" t="str"/>
      <c r="D10" s="3" t="str"/>
      <c r="E10" s="3" t="n"/>
      <c r="F10" s="3" t="n"/>
      <c r="G10" s="3" t="n"/>
      <c r="H10" s="9">
        <f>IF(E10&gt;0,F10/E10,"")</f>
        <v/>
      </c>
      <c r="I10" s="3" t="n"/>
      <c r="J10" s="3" t="inlineStr">
        <is>
          <t>Не проверено</t>
        </is>
      </c>
      <c r="K10" s="3" t="str"/>
      <c r="L10" s="3" t="str"/>
    </row>
    <row r="11" ht="32" customHeight="1">
      <c r="A11" s="3" t="str"/>
      <c r="B11" s="3" t="str"/>
      <c r="C11" s="3" t="str"/>
      <c r="D11" s="3" t="str"/>
      <c r="E11" s="3" t="n"/>
      <c r="F11" s="3" t="n"/>
      <c r="G11" s="3" t="n"/>
      <c r="H11" s="9">
        <f>IF(E11&gt;0,F11/E11,"")</f>
        <v/>
      </c>
      <c r="I11" s="3" t="n"/>
      <c r="J11" s="3" t="inlineStr">
        <is>
          <t>Не проверено</t>
        </is>
      </c>
      <c r="K11" s="3" t="str"/>
      <c r="L11" s="3" t="str"/>
    </row>
    <row r="12" ht="32" customHeight="1">
      <c r="A12" s="3" t="str"/>
      <c r="B12" s="3" t="str"/>
      <c r="C12" s="3" t="str"/>
      <c r="D12" s="3" t="str"/>
      <c r="E12" s="3" t="n"/>
      <c r="F12" s="3" t="n"/>
      <c r="G12" s="3" t="n"/>
      <c r="H12" s="9">
        <f>IF(E12&gt;0,F12/E12,"")</f>
        <v/>
      </c>
      <c r="I12" s="3" t="n"/>
      <c r="J12" s="3" t="inlineStr">
        <is>
          <t>Не проверено</t>
        </is>
      </c>
      <c r="K12" s="3" t="str"/>
      <c r="L12" s="3" t="str"/>
    </row>
    <row r="13" ht="32" customHeight="1">
      <c r="A13" s="3" t="str"/>
      <c r="B13" s="3" t="str"/>
      <c r="C13" s="3" t="str"/>
      <c r="D13" s="3" t="str"/>
      <c r="E13" s="3" t="n"/>
      <c r="F13" s="3" t="n"/>
      <c r="G13" s="3" t="n"/>
      <c r="H13" s="9">
        <f>IF(E13&gt;0,F13/E13,"")</f>
        <v/>
      </c>
      <c r="I13" s="3" t="n"/>
      <c r="J13" s="3" t="inlineStr">
        <is>
          <t>Не проверено</t>
        </is>
      </c>
      <c r="K13" s="3" t="str"/>
      <c r="L13" s="3" t="str"/>
    </row>
    <row r="14" ht="32" customHeight="1">
      <c r="A14" s="3" t="str"/>
      <c r="B14" s="3" t="str"/>
      <c r="C14" s="3" t="str"/>
      <c r="D14" s="3" t="str"/>
      <c r="E14" s="3" t="n"/>
      <c r="F14" s="3" t="n"/>
      <c r="G14" s="3" t="n"/>
      <c r="H14" s="9">
        <f>IF(E14&gt;0,F14/E14,"")</f>
        <v/>
      </c>
      <c r="I14" s="3" t="n"/>
      <c r="J14" s="3" t="inlineStr">
        <is>
          <t>Не проверено</t>
        </is>
      </c>
      <c r="K14" s="3" t="str"/>
      <c r="L14" s="3" t="str"/>
    </row>
    <row r="15" ht="32" customHeight="1">
      <c r="A15" s="3" t="str"/>
      <c r="B15" s="3" t="str"/>
      <c r="C15" s="3" t="str"/>
      <c r="D15" s="3" t="str"/>
      <c r="E15" s="3" t="n"/>
      <c r="F15" s="3" t="n"/>
      <c r="G15" s="3" t="n"/>
      <c r="H15" s="9">
        <f>IF(E15&gt;0,F15/E15,"")</f>
        <v/>
      </c>
      <c r="I15" s="3" t="n"/>
      <c r="J15" s="3" t="inlineStr">
        <is>
          <t>Не проверено</t>
        </is>
      </c>
      <c r="K15" s="3" t="str"/>
      <c r="L15" s="3" t="str"/>
    </row>
    <row r="16" ht="32" customHeight="1">
      <c r="A16" s="3" t="str"/>
      <c r="B16" s="3" t="str"/>
      <c r="C16" s="3" t="str"/>
      <c r="D16" s="3" t="str"/>
      <c r="E16" s="3" t="n"/>
      <c r="F16" s="3" t="n"/>
      <c r="G16" s="3" t="n"/>
      <c r="H16" s="9">
        <f>IF(E16&gt;0,F16/E16,"")</f>
        <v/>
      </c>
      <c r="I16" s="3" t="n"/>
      <c r="J16" s="3" t="inlineStr">
        <is>
          <t>Не проверено</t>
        </is>
      </c>
      <c r="K16" s="3" t="str"/>
      <c r="L16" s="3" t="str"/>
    </row>
    <row r="17" ht="32" customHeight="1">
      <c r="A17" s="3" t="str"/>
      <c r="B17" s="3" t="str"/>
      <c r="C17" s="3" t="str"/>
      <c r="D17" s="3" t="str"/>
      <c r="E17" s="3" t="n"/>
      <c r="F17" s="3" t="n"/>
      <c r="G17" s="3" t="n"/>
      <c r="H17" s="9">
        <f>IF(E17&gt;0,F17/E17,"")</f>
        <v/>
      </c>
      <c r="I17" s="3" t="n"/>
      <c r="J17" s="3" t="inlineStr">
        <is>
          <t>Не проверено</t>
        </is>
      </c>
      <c r="K17" s="3" t="str"/>
      <c r="L17" s="3" t="str"/>
    </row>
    <row r="18" ht="32" customHeight="1">
      <c r="A18" s="3" t="str"/>
      <c r="B18" s="3" t="str"/>
      <c r="C18" s="3" t="str"/>
      <c r="D18" s="3" t="str"/>
      <c r="E18" s="3" t="n"/>
      <c r="F18" s="3" t="n"/>
      <c r="G18" s="3" t="n"/>
      <c r="H18" s="9">
        <f>IF(E18&gt;0,F18/E18,"")</f>
        <v/>
      </c>
      <c r="I18" s="3" t="n"/>
      <c r="J18" s="3" t="inlineStr">
        <is>
          <t>Не проверено</t>
        </is>
      </c>
      <c r="K18" s="3" t="str"/>
      <c r="L18" s="3" t="str"/>
    </row>
    <row r="19" ht="32" customHeight="1">
      <c r="A19" s="3" t="str"/>
      <c r="B19" s="3" t="str"/>
      <c r="C19" s="3" t="str"/>
      <c r="D19" s="3" t="str"/>
      <c r="E19" s="3" t="n"/>
      <c r="F19" s="3" t="n"/>
      <c r="G19" s="3" t="n"/>
      <c r="H19" s="9">
        <f>IF(E19&gt;0,F19/E19,"")</f>
        <v/>
      </c>
      <c r="I19" s="3" t="n"/>
      <c r="J19" s="3" t="inlineStr">
        <is>
          <t>Не проверено</t>
        </is>
      </c>
      <c r="K19" s="3" t="str"/>
      <c r="L19" s="3" t="str"/>
    </row>
    <row r="20" ht="32" customHeight="1">
      <c r="A20" s="3" t="str"/>
      <c r="B20" s="3" t="str"/>
      <c r="C20" s="3" t="str"/>
      <c r="D20" s="3" t="str"/>
      <c r="E20" s="3" t="n"/>
      <c r="F20" s="3" t="n"/>
      <c r="G20" s="3" t="n"/>
      <c r="H20" s="9">
        <f>IF(E20&gt;0,F20/E20,"")</f>
        <v/>
      </c>
      <c r="I20" s="3" t="n"/>
      <c r="J20" s="3" t="inlineStr">
        <is>
          <t>Не проверено</t>
        </is>
      </c>
      <c r="K20" s="3" t="str"/>
      <c r="L20" s="3" t="str"/>
    </row>
    <row r="21" ht="32" customHeight="1">
      <c r="A21" s="3" t="str"/>
      <c r="B21" s="3" t="str"/>
      <c r="C21" s="3" t="str"/>
      <c r="D21" s="3" t="str"/>
      <c r="E21" s="3" t="n"/>
      <c r="F21" s="3" t="n"/>
      <c r="G21" s="3" t="n"/>
      <c r="H21" s="9">
        <f>IF(E21&gt;0,F21/E21,"")</f>
        <v/>
      </c>
      <c r="I21" s="3" t="n"/>
      <c r="J21" s="3" t="inlineStr">
        <is>
          <t>Не проверено</t>
        </is>
      </c>
      <c r="K21" s="3" t="str"/>
      <c r="L21" s="3" t="str"/>
    </row>
    <row r="22" ht="32" customHeight="1">
      <c r="A22" s="3" t="str"/>
      <c r="B22" s="3" t="str"/>
      <c r="C22" s="3" t="str"/>
      <c r="D22" s="3" t="str"/>
      <c r="E22" s="3" t="n"/>
      <c r="F22" s="3" t="n"/>
      <c r="G22" s="3" t="n"/>
      <c r="H22" s="9">
        <f>IF(E22&gt;0,F22/E22,"")</f>
        <v/>
      </c>
      <c r="I22" s="3" t="n"/>
      <c r="J22" s="3" t="inlineStr">
        <is>
          <t>Не проверено</t>
        </is>
      </c>
      <c r="K22" s="3" t="str"/>
      <c r="L22" s="3" t="str"/>
    </row>
    <row r="23" ht="32" customHeight="1">
      <c r="A23" s="3" t="str"/>
      <c r="B23" s="3" t="str"/>
      <c r="C23" s="3" t="str"/>
      <c r="D23" s="3" t="str"/>
      <c r="E23" s="3" t="n"/>
      <c r="F23" s="3" t="n"/>
      <c r="G23" s="3" t="n"/>
      <c r="H23" s="9">
        <f>IF(E23&gt;0,F23/E23,"")</f>
        <v/>
      </c>
      <c r="I23" s="3" t="n"/>
      <c r="J23" s="3" t="inlineStr">
        <is>
          <t>Не проверено</t>
        </is>
      </c>
      <c r="K23" s="3" t="str"/>
      <c r="L23" s="3" t="str"/>
    </row>
    <row r="24" ht="32" customHeight="1">
      <c r="A24" s="3" t="str"/>
      <c r="B24" s="3" t="str"/>
      <c r="C24" s="3" t="str"/>
      <c r="D24" s="3" t="str"/>
      <c r="E24" s="3" t="n"/>
      <c r="F24" s="3" t="n"/>
      <c r="G24" s="3" t="n"/>
      <c r="H24" s="9">
        <f>IF(E24&gt;0,F24/E24,"")</f>
        <v/>
      </c>
      <c r="I24" s="3" t="n"/>
      <c r="J24" s="3" t="inlineStr">
        <is>
          <t>Не проверено</t>
        </is>
      </c>
      <c r="K24" s="3" t="str"/>
      <c r="L24" s="3" t="str"/>
    </row>
    <row r="25" ht="32" customHeight="1">
      <c r="A25" s="3" t="str"/>
      <c r="B25" s="3" t="str"/>
      <c r="C25" s="3" t="str"/>
      <c r="D25" s="3" t="str"/>
      <c r="E25" s="3" t="n"/>
      <c r="F25" s="3" t="n"/>
      <c r="G25" s="3" t="n"/>
      <c r="H25" s="9">
        <f>IF(E25&gt;0,F25/E25,"")</f>
        <v/>
      </c>
      <c r="I25" s="3" t="n"/>
      <c r="J25" s="3" t="inlineStr">
        <is>
          <t>Не проверено</t>
        </is>
      </c>
      <c r="K25" s="3" t="str"/>
      <c r="L25" s="3" t="str"/>
    </row>
    <row r="26" ht="32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</sheetData>
  <mergeCells count="2">
    <mergeCell ref="A2:F2"/>
    <mergeCell ref="A1:F1"/>
  </mergeCells>
  <conditionalFormatting sqref="J6:J25">
    <cfRule type="containsText" priority="1" operator="containsText" dxfId="0" text="✓ Пройден"/>
    <cfRule type="containsText" priority="2" operator="containsText" dxfId="1" text="✗ Ошибка"/>
    <cfRule type="containsText" priority="3" operator="containsText" dxfId="2" text="Не проверено"/>
    <cfRule type="containsText" priority="4" operator="containsText" dxfId="3" text="Не поддерживается"/>
  </conditionalFormatting>
  <dataValidations count="2">
    <dataValidation sqref="J6:J25" showDropDown="0" showInputMessage="0" showErrorMessage="0" allowBlank="0" type="list">
      <formula1>"Не проверено,✓ Пройден,✗ Ошибка,Не поддерживается"</formula1>
    </dataValidation>
    <dataValidation sqref="D6:D25" showDropDown="0" showInputMessage="0" showErrorMessage="0" allowBlank="0" type="list">
      <formula1>"T01,T02,T03,T04,T05,T06,T07,T08,T09,S01,S02,S03,S04,S05,X01,X02"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2026-09-28T08:29:22Z</dcterms:created>
  <dcterms:modified xsi:type="dcterms:W3CDTF">2026-10-03T12:20:34Z</dcterms:modified>
</cp:coreProperties>
</file>